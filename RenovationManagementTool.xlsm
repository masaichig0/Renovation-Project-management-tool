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sa\Desktop\"/>
    </mc:Choice>
  </mc:AlternateContent>
  <xr:revisionPtr revIDLastSave="0" documentId="8_{C12EB70F-0540-45DA-838E-444E3678931A}" xr6:coauthVersionLast="47" xr6:coauthVersionMax="47" xr10:uidLastSave="{00000000-0000-0000-0000-000000000000}"/>
  <bookViews>
    <workbookView xWindow="28680" yWindow="-120" windowWidth="29040" windowHeight="15720" xr2:uid="{02AD13F4-07AF-4072-89AB-B904821BEA78}"/>
  </bookViews>
  <sheets>
    <sheet name="Template (2)" sheetId="7" r:id="rId1"/>
    <sheet name="Template" sheetId="1" r:id="rId2"/>
    <sheet name="Cost Calculator" sheetId="5" r:id="rId3"/>
    <sheet name="BC Cities" sheetId="4" r:id="rId4"/>
    <sheet name="Canada Provinces" sheetId="3" r:id="rId5"/>
    <sheet name="Result" sheetId="2" r:id="rId6"/>
  </sheets>
  <externalReferences>
    <externalReference r:id="rId7"/>
  </externalReferences>
  <definedNames>
    <definedName name="Calculated_new_cost">'Cost Calculator'!$B$5:$E$24</definedName>
    <definedName name="Calculated_new_project">'Cost Calculator'!$B$5:$E$24</definedName>
    <definedName name="ExternalData_1" localSheetId="3" hidden="1">'BC Cities'!$A$2:$K$60</definedName>
    <definedName name="ExternalData_1" localSheetId="4" hidden="1">'Canada Provinces'!$A$1:$B$14</definedName>
    <definedName name="Result">Result!$B$2:$G$21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F33" i="1"/>
  <c r="J58" i="1"/>
  <c r="J59" i="1"/>
  <c r="G563" i="7"/>
  <c r="J562" i="7"/>
  <c r="I562" i="7"/>
  <c r="J561" i="7"/>
  <c r="I561" i="7"/>
  <c r="J560" i="7"/>
  <c r="I560" i="7"/>
  <c r="J559" i="7"/>
  <c r="I559" i="7"/>
  <c r="J558" i="7"/>
  <c r="I558" i="7"/>
  <c r="J557" i="7"/>
  <c r="I557" i="7"/>
  <c r="J556" i="7"/>
  <c r="I556" i="7"/>
  <c r="J555" i="7"/>
  <c r="I555" i="7"/>
  <c r="J554" i="7"/>
  <c r="I554" i="7"/>
  <c r="J553" i="7"/>
  <c r="I553" i="7"/>
  <c r="J552" i="7"/>
  <c r="I552" i="7"/>
  <c r="J551" i="7"/>
  <c r="I551" i="7"/>
  <c r="J550" i="7"/>
  <c r="I550" i="7"/>
  <c r="J549" i="7"/>
  <c r="I549" i="7"/>
  <c r="G547" i="7"/>
  <c r="H75" i="7" s="1"/>
  <c r="J546" i="7"/>
  <c r="I546" i="7"/>
  <c r="J545" i="7"/>
  <c r="I545" i="7"/>
  <c r="J544" i="7"/>
  <c r="I544" i="7"/>
  <c r="J543" i="7"/>
  <c r="I543" i="7"/>
  <c r="J538" i="7"/>
  <c r="G538" i="7"/>
  <c r="I538" i="7" s="1"/>
  <c r="J537" i="7"/>
  <c r="I537" i="7"/>
  <c r="J536" i="7"/>
  <c r="I536" i="7"/>
  <c r="J535" i="7"/>
  <c r="I535" i="7"/>
  <c r="J534" i="7"/>
  <c r="I534" i="7"/>
  <c r="J533" i="7"/>
  <c r="I533" i="7"/>
  <c r="J532" i="7"/>
  <c r="I532" i="7"/>
  <c r="J531" i="7"/>
  <c r="I531" i="7"/>
  <c r="J530" i="7"/>
  <c r="I530" i="7"/>
  <c r="J529" i="7"/>
  <c r="I529" i="7"/>
  <c r="J528" i="7"/>
  <c r="I528" i="7"/>
  <c r="J527" i="7"/>
  <c r="I527" i="7"/>
  <c r="J526" i="7"/>
  <c r="I526" i="7"/>
  <c r="J525" i="7"/>
  <c r="I525" i="7"/>
  <c r="J524" i="7"/>
  <c r="I524" i="7"/>
  <c r="G522" i="7"/>
  <c r="J521" i="7"/>
  <c r="I521" i="7"/>
  <c r="J520" i="7"/>
  <c r="I520" i="7"/>
  <c r="J519" i="7"/>
  <c r="I519" i="7"/>
  <c r="J518" i="7"/>
  <c r="I518" i="7"/>
  <c r="G513" i="7"/>
  <c r="I513" i="7" s="1"/>
  <c r="J512" i="7"/>
  <c r="I512" i="7"/>
  <c r="J511" i="7"/>
  <c r="I511" i="7"/>
  <c r="J510" i="7"/>
  <c r="I510" i="7"/>
  <c r="J509" i="7"/>
  <c r="I509" i="7"/>
  <c r="J508" i="7"/>
  <c r="I508" i="7"/>
  <c r="J507" i="7"/>
  <c r="I507" i="7"/>
  <c r="J506" i="7"/>
  <c r="I506" i="7"/>
  <c r="J505" i="7"/>
  <c r="I505" i="7"/>
  <c r="J504" i="7"/>
  <c r="I504" i="7"/>
  <c r="J503" i="7"/>
  <c r="I503" i="7"/>
  <c r="J502" i="7"/>
  <c r="I502" i="7"/>
  <c r="J501" i="7"/>
  <c r="I501" i="7"/>
  <c r="J500" i="7"/>
  <c r="I500" i="7"/>
  <c r="J499" i="7"/>
  <c r="I499" i="7"/>
  <c r="G497" i="7"/>
  <c r="H73" i="7" s="1"/>
  <c r="J73" i="7" s="1"/>
  <c r="J496" i="7"/>
  <c r="I496" i="7"/>
  <c r="J495" i="7"/>
  <c r="I495" i="7"/>
  <c r="J494" i="7"/>
  <c r="I494" i="7"/>
  <c r="J493" i="7"/>
  <c r="I493" i="7"/>
  <c r="J488" i="7"/>
  <c r="G488" i="7"/>
  <c r="I488" i="7" s="1"/>
  <c r="J487" i="7"/>
  <c r="I487" i="7"/>
  <c r="J486" i="7"/>
  <c r="I486" i="7"/>
  <c r="J485" i="7"/>
  <c r="I485" i="7"/>
  <c r="J484" i="7"/>
  <c r="I484" i="7"/>
  <c r="J483" i="7"/>
  <c r="I483" i="7"/>
  <c r="J482" i="7"/>
  <c r="I482" i="7"/>
  <c r="J481" i="7"/>
  <c r="I481" i="7"/>
  <c r="J480" i="7"/>
  <c r="I480" i="7"/>
  <c r="J479" i="7"/>
  <c r="I479" i="7"/>
  <c r="J478" i="7"/>
  <c r="I478" i="7"/>
  <c r="J477" i="7"/>
  <c r="I477" i="7"/>
  <c r="J476" i="7"/>
  <c r="I476" i="7"/>
  <c r="J475" i="7"/>
  <c r="I475" i="7"/>
  <c r="J474" i="7"/>
  <c r="I474" i="7"/>
  <c r="G472" i="7"/>
  <c r="J471" i="7"/>
  <c r="I471" i="7"/>
  <c r="J470" i="7"/>
  <c r="I470" i="7"/>
  <c r="J469" i="7"/>
  <c r="I469" i="7"/>
  <c r="J468" i="7"/>
  <c r="I468" i="7"/>
  <c r="G463" i="7"/>
  <c r="H90" i="7" s="1"/>
  <c r="J462" i="7"/>
  <c r="I462" i="7"/>
  <c r="J461" i="7"/>
  <c r="I461" i="7"/>
  <c r="J460" i="7"/>
  <c r="I460" i="7"/>
  <c r="J459" i="7"/>
  <c r="I459" i="7"/>
  <c r="J458" i="7"/>
  <c r="I458" i="7"/>
  <c r="J457" i="7"/>
  <c r="I457" i="7"/>
  <c r="J456" i="7"/>
  <c r="I456" i="7"/>
  <c r="J455" i="7"/>
  <c r="I455" i="7"/>
  <c r="J454" i="7"/>
  <c r="I454" i="7"/>
  <c r="J453" i="7"/>
  <c r="I453" i="7"/>
  <c r="J452" i="7"/>
  <c r="I452" i="7"/>
  <c r="J451" i="7"/>
  <c r="I451" i="7"/>
  <c r="J450" i="7"/>
  <c r="I450" i="7"/>
  <c r="J449" i="7"/>
  <c r="I449" i="7"/>
  <c r="I447" i="7"/>
  <c r="G447" i="7"/>
  <c r="J446" i="7"/>
  <c r="I446" i="7"/>
  <c r="J445" i="7"/>
  <c r="I445" i="7"/>
  <c r="J444" i="7"/>
  <c r="I444" i="7"/>
  <c r="J443" i="7"/>
  <c r="I443" i="7"/>
  <c r="G438" i="7"/>
  <c r="I438" i="7" s="1"/>
  <c r="J437" i="7"/>
  <c r="I437" i="7"/>
  <c r="J436" i="7"/>
  <c r="I436" i="7"/>
  <c r="J435" i="7"/>
  <c r="I435" i="7"/>
  <c r="J434" i="7"/>
  <c r="I434" i="7"/>
  <c r="J433" i="7"/>
  <c r="I433" i="7"/>
  <c r="J432" i="7"/>
  <c r="I432" i="7"/>
  <c r="J431" i="7"/>
  <c r="I431" i="7"/>
  <c r="J430" i="7"/>
  <c r="I430" i="7"/>
  <c r="J429" i="7"/>
  <c r="I429" i="7"/>
  <c r="J428" i="7"/>
  <c r="I428" i="7"/>
  <c r="J427" i="7"/>
  <c r="I427" i="7"/>
  <c r="J426" i="7"/>
  <c r="I426" i="7"/>
  <c r="J425" i="7"/>
  <c r="I425" i="7"/>
  <c r="J424" i="7"/>
  <c r="I424" i="7"/>
  <c r="G422" i="7"/>
  <c r="G439" i="7" s="1"/>
  <c r="H431" i="7" s="1"/>
  <c r="J421" i="7"/>
  <c r="I421" i="7"/>
  <c r="J420" i="7"/>
  <c r="I420" i="7"/>
  <c r="J419" i="7"/>
  <c r="I419" i="7"/>
  <c r="J418" i="7"/>
  <c r="I418" i="7"/>
  <c r="I413" i="7"/>
  <c r="G413" i="7"/>
  <c r="J412" i="7"/>
  <c r="I412" i="7"/>
  <c r="J411" i="7"/>
  <c r="I411" i="7"/>
  <c r="J410" i="7"/>
  <c r="I410" i="7"/>
  <c r="J409" i="7"/>
  <c r="I409" i="7"/>
  <c r="J408" i="7"/>
  <c r="I408" i="7"/>
  <c r="J407" i="7"/>
  <c r="I407" i="7"/>
  <c r="J406" i="7"/>
  <c r="I406" i="7"/>
  <c r="J405" i="7"/>
  <c r="I405" i="7"/>
  <c r="J404" i="7"/>
  <c r="I404" i="7"/>
  <c r="J403" i="7"/>
  <c r="I403" i="7"/>
  <c r="J402" i="7"/>
  <c r="I402" i="7"/>
  <c r="J401" i="7"/>
  <c r="I401" i="7"/>
  <c r="J400" i="7"/>
  <c r="I400" i="7"/>
  <c r="J399" i="7"/>
  <c r="I399" i="7"/>
  <c r="G397" i="7"/>
  <c r="J396" i="7"/>
  <c r="I396" i="7"/>
  <c r="J395" i="7"/>
  <c r="I395" i="7"/>
  <c r="J394" i="7"/>
  <c r="I394" i="7"/>
  <c r="J393" i="7"/>
  <c r="I393" i="7"/>
  <c r="J388" i="7"/>
  <c r="I388" i="7"/>
  <c r="G388" i="7"/>
  <c r="J387" i="7"/>
  <c r="I387" i="7"/>
  <c r="J386" i="7"/>
  <c r="I386" i="7"/>
  <c r="J385" i="7"/>
  <c r="I385" i="7"/>
  <c r="J384" i="7"/>
  <c r="I384" i="7"/>
  <c r="J383" i="7"/>
  <c r="I383" i="7"/>
  <c r="J382" i="7"/>
  <c r="I382" i="7"/>
  <c r="J381" i="7"/>
  <c r="I381" i="7"/>
  <c r="J380" i="7"/>
  <c r="I380" i="7"/>
  <c r="J379" i="7"/>
  <c r="I379" i="7"/>
  <c r="J378" i="7"/>
  <c r="I378" i="7"/>
  <c r="J377" i="7"/>
  <c r="I377" i="7"/>
  <c r="J376" i="7"/>
  <c r="I376" i="7"/>
  <c r="J375" i="7"/>
  <c r="I375" i="7"/>
  <c r="J374" i="7"/>
  <c r="I374" i="7"/>
  <c r="G372" i="7"/>
  <c r="J372" i="7" s="1"/>
  <c r="J371" i="7"/>
  <c r="I371" i="7"/>
  <c r="J370" i="7"/>
  <c r="I370" i="7"/>
  <c r="J369" i="7"/>
  <c r="I369" i="7"/>
  <c r="J368" i="7"/>
  <c r="I368" i="7"/>
  <c r="G364" i="7"/>
  <c r="G363" i="7"/>
  <c r="J362" i="7"/>
  <c r="I362" i="7"/>
  <c r="J361" i="7"/>
  <c r="I361" i="7"/>
  <c r="J360" i="7"/>
  <c r="I360" i="7"/>
  <c r="J359" i="7"/>
  <c r="I359" i="7"/>
  <c r="J358" i="7"/>
  <c r="I358" i="7"/>
  <c r="J357" i="7"/>
  <c r="I357" i="7"/>
  <c r="J356" i="7"/>
  <c r="I356" i="7"/>
  <c r="J355" i="7"/>
  <c r="I355" i="7"/>
  <c r="J354" i="7"/>
  <c r="I354" i="7"/>
  <c r="J353" i="7"/>
  <c r="I353" i="7"/>
  <c r="J352" i="7"/>
  <c r="I352" i="7"/>
  <c r="J351" i="7"/>
  <c r="I351" i="7"/>
  <c r="J350" i="7"/>
  <c r="I350" i="7"/>
  <c r="J349" i="7"/>
  <c r="I349" i="7"/>
  <c r="J347" i="7"/>
  <c r="I347" i="7"/>
  <c r="G347" i="7"/>
  <c r="J346" i="7"/>
  <c r="I346" i="7"/>
  <c r="J345" i="7"/>
  <c r="I345" i="7"/>
  <c r="J344" i="7"/>
  <c r="I344" i="7"/>
  <c r="J343" i="7"/>
  <c r="I343" i="7"/>
  <c r="G339" i="7"/>
  <c r="H334" i="7" s="1"/>
  <c r="G338" i="7"/>
  <c r="J338" i="7" s="1"/>
  <c r="J337" i="7"/>
  <c r="I337" i="7"/>
  <c r="J336" i="7"/>
  <c r="I336" i="7"/>
  <c r="J335" i="7"/>
  <c r="I335" i="7"/>
  <c r="J334" i="7"/>
  <c r="I334" i="7"/>
  <c r="J333" i="7"/>
  <c r="I333" i="7"/>
  <c r="J332" i="7"/>
  <c r="I332" i="7"/>
  <c r="J331" i="7"/>
  <c r="I331" i="7"/>
  <c r="J330" i="7"/>
  <c r="I330" i="7"/>
  <c r="J329" i="7"/>
  <c r="I329" i="7"/>
  <c r="J328" i="7"/>
  <c r="I328" i="7"/>
  <c r="J327" i="7"/>
  <c r="I327" i="7"/>
  <c r="J326" i="7"/>
  <c r="I326" i="7"/>
  <c r="H326" i="7"/>
  <c r="J325" i="7"/>
  <c r="I325" i="7"/>
  <c r="J324" i="7"/>
  <c r="I324" i="7"/>
  <c r="G322" i="7"/>
  <c r="J322" i="7" s="1"/>
  <c r="J321" i="7"/>
  <c r="I321" i="7"/>
  <c r="J320" i="7"/>
  <c r="I320" i="7"/>
  <c r="J319" i="7"/>
  <c r="I319" i="7"/>
  <c r="J318" i="7"/>
  <c r="I318" i="7"/>
  <c r="J313" i="7"/>
  <c r="G313" i="7"/>
  <c r="I313" i="7" s="1"/>
  <c r="J312" i="7"/>
  <c r="I312" i="7"/>
  <c r="J311" i="7"/>
  <c r="I311" i="7"/>
  <c r="J310" i="7"/>
  <c r="I310" i="7"/>
  <c r="J309" i="7"/>
  <c r="I309" i="7"/>
  <c r="J308" i="7"/>
  <c r="I308" i="7"/>
  <c r="J307" i="7"/>
  <c r="I307" i="7"/>
  <c r="J306" i="7"/>
  <c r="I306" i="7"/>
  <c r="J305" i="7"/>
  <c r="I305" i="7"/>
  <c r="J304" i="7"/>
  <c r="I304" i="7"/>
  <c r="J303" i="7"/>
  <c r="I303" i="7"/>
  <c r="J302" i="7"/>
  <c r="I302" i="7"/>
  <c r="J301" i="7"/>
  <c r="I301" i="7"/>
  <c r="J300" i="7"/>
  <c r="I300" i="7"/>
  <c r="J299" i="7"/>
  <c r="I299" i="7"/>
  <c r="G297" i="7"/>
  <c r="J296" i="7"/>
  <c r="I296" i="7"/>
  <c r="J295" i="7"/>
  <c r="I295" i="7"/>
  <c r="J294" i="7"/>
  <c r="I294" i="7"/>
  <c r="J293" i="7"/>
  <c r="I293" i="7"/>
  <c r="G288" i="7"/>
  <c r="J287" i="7"/>
  <c r="I287" i="7"/>
  <c r="J286" i="7"/>
  <c r="I286" i="7"/>
  <c r="J285" i="7"/>
  <c r="I285" i="7"/>
  <c r="J284" i="7"/>
  <c r="I284" i="7"/>
  <c r="J283" i="7"/>
  <c r="I283" i="7"/>
  <c r="J282" i="7"/>
  <c r="I282" i="7"/>
  <c r="J281" i="7"/>
  <c r="I281" i="7"/>
  <c r="J280" i="7"/>
  <c r="I280" i="7"/>
  <c r="J279" i="7"/>
  <c r="I279" i="7"/>
  <c r="J278" i="7"/>
  <c r="I278" i="7"/>
  <c r="J277" i="7"/>
  <c r="I277" i="7"/>
  <c r="J276" i="7"/>
  <c r="I276" i="7"/>
  <c r="J275" i="7"/>
  <c r="I275" i="7"/>
  <c r="J274" i="7"/>
  <c r="I274" i="7"/>
  <c r="J272" i="7"/>
  <c r="G272" i="7"/>
  <c r="J271" i="7"/>
  <c r="I271" i="7"/>
  <c r="J270" i="7"/>
  <c r="I270" i="7"/>
  <c r="J269" i="7"/>
  <c r="I269" i="7"/>
  <c r="J268" i="7"/>
  <c r="I268" i="7"/>
  <c r="G263" i="7"/>
  <c r="J262" i="7"/>
  <c r="I262" i="7"/>
  <c r="J261" i="7"/>
  <c r="I261" i="7"/>
  <c r="J260" i="7"/>
  <c r="I260" i="7"/>
  <c r="J259" i="7"/>
  <c r="I259" i="7"/>
  <c r="J258" i="7"/>
  <c r="I258" i="7"/>
  <c r="J257" i="7"/>
  <c r="I257" i="7"/>
  <c r="J256" i="7"/>
  <c r="I256" i="7"/>
  <c r="J255" i="7"/>
  <c r="I255" i="7"/>
  <c r="J254" i="7"/>
  <c r="I254" i="7"/>
  <c r="J253" i="7"/>
  <c r="I253" i="7"/>
  <c r="J252" i="7"/>
  <c r="I252" i="7"/>
  <c r="J251" i="7"/>
  <c r="I251" i="7"/>
  <c r="J250" i="7"/>
  <c r="I250" i="7"/>
  <c r="J249" i="7"/>
  <c r="I249" i="7"/>
  <c r="G247" i="7"/>
  <c r="J247" i="7" s="1"/>
  <c r="J246" i="7"/>
  <c r="I246" i="7"/>
  <c r="J245" i="7"/>
  <c r="I245" i="7"/>
  <c r="J244" i="7"/>
  <c r="I244" i="7"/>
  <c r="J243" i="7"/>
  <c r="I243" i="7"/>
  <c r="J238" i="7"/>
  <c r="G238" i="7"/>
  <c r="I238" i="7" s="1"/>
  <c r="J237" i="7"/>
  <c r="I237" i="7"/>
  <c r="J236" i="7"/>
  <c r="I236" i="7"/>
  <c r="J235" i="7"/>
  <c r="I235" i="7"/>
  <c r="J234" i="7"/>
  <c r="I234" i="7"/>
  <c r="J233" i="7"/>
  <c r="I233" i="7"/>
  <c r="J232" i="7"/>
  <c r="I232" i="7"/>
  <c r="J231" i="7"/>
  <c r="I231" i="7"/>
  <c r="J230" i="7"/>
  <c r="I230" i="7"/>
  <c r="J229" i="7"/>
  <c r="I229" i="7"/>
  <c r="J228" i="7"/>
  <c r="I228" i="7"/>
  <c r="J227" i="7"/>
  <c r="I227" i="7"/>
  <c r="J226" i="7"/>
  <c r="I226" i="7"/>
  <c r="J225" i="7"/>
  <c r="I225" i="7"/>
  <c r="J224" i="7"/>
  <c r="I224" i="7"/>
  <c r="G222" i="7"/>
  <c r="J222" i="7" s="1"/>
  <c r="J221" i="7"/>
  <c r="I221" i="7"/>
  <c r="J220" i="7"/>
  <c r="I220" i="7"/>
  <c r="J219" i="7"/>
  <c r="I219" i="7"/>
  <c r="J218" i="7"/>
  <c r="I218" i="7"/>
  <c r="J213" i="7"/>
  <c r="G213" i="7"/>
  <c r="I213" i="7" s="1"/>
  <c r="J212" i="7"/>
  <c r="I212" i="7"/>
  <c r="J211" i="7"/>
  <c r="I211" i="7"/>
  <c r="J210" i="7"/>
  <c r="I210" i="7"/>
  <c r="J209" i="7"/>
  <c r="I209" i="7"/>
  <c r="J208" i="7"/>
  <c r="I208" i="7"/>
  <c r="J207" i="7"/>
  <c r="I207" i="7"/>
  <c r="J206" i="7"/>
  <c r="I206" i="7"/>
  <c r="J205" i="7"/>
  <c r="I205" i="7"/>
  <c r="J204" i="7"/>
  <c r="I204" i="7"/>
  <c r="J203" i="7"/>
  <c r="I203" i="7"/>
  <c r="J202" i="7"/>
  <c r="I202" i="7"/>
  <c r="J201" i="7"/>
  <c r="I201" i="7"/>
  <c r="J200" i="7"/>
  <c r="I200" i="7"/>
  <c r="J199" i="7"/>
  <c r="I199" i="7"/>
  <c r="G197" i="7"/>
  <c r="J196" i="7"/>
  <c r="I196" i="7"/>
  <c r="J195" i="7"/>
  <c r="I195" i="7"/>
  <c r="J194" i="7"/>
  <c r="I194" i="7"/>
  <c r="J193" i="7"/>
  <c r="I193" i="7"/>
  <c r="I188" i="7"/>
  <c r="G188" i="7"/>
  <c r="J188" i="7" s="1"/>
  <c r="J187" i="7"/>
  <c r="I187" i="7"/>
  <c r="J186" i="7"/>
  <c r="I186" i="7"/>
  <c r="J185" i="7"/>
  <c r="I185" i="7"/>
  <c r="J184" i="7"/>
  <c r="I184" i="7"/>
  <c r="J183" i="7"/>
  <c r="I183" i="7"/>
  <c r="J182" i="7"/>
  <c r="I182" i="7"/>
  <c r="J181" i="7"/>
  <c r="I181" i="7"/>
  <c r="J180" i="7"/>
  <c r="I180" i="7"/>
  <c r="J179" i="7"/>
  <c r="I179" i="7"/>
  <c r="J178" i="7"/>
  <c r="I178" i="7"/>
  <c r="J177" i="7"/>
  <c r="I177" i="7"/>
  <c r="J176" i="7"/>
  <c r="I176" i="7"/>
  <c r="J175" i="7"/>
  <c r="I175" i="7"/>
  <c r="J174" i="7"/>
  <c r="I174" i="7"/>
  <c r="G172" i="7"/>
  <c r="G189" i="7" s="1"/>
  <c r="J171" i="7"/>
  <c r="I171" i="7"/>
  <c r="J170" i="7"/>
  <c r="I170" i="7"/>
  <c r="J169" i="7"/>
  <c r="I169" i="7"/>
  <c r="J168" i="7"/>
  <c r="I168" i="7"/>
  <c r="G163" i="7"/>
  <c r="G164" i="7" s="1"/>
  <c r="J162" i="7"/>
  <c r="I162" i="7"/>
  <c r="J161" i="7"/>
  <c r="I161" i="7"/>
  <c r="J160" i="7"/>
  <c r="I160" i="7"/>
  <c r="J159" i="7"/>
  <c r="I159" i="7"/>
  <c r="J158" i="7"/>
  <c r="I158" i="7"/>
  <c r="J157" i="7"/>
  <c r="I157" i="7"/>
  <c r="J156" i="7"/>
  <c r="I156" i="7"/>
  <c r="J155" i="7"/>
  <c r="I155" i="7"/>
  <c r="J154" i="7"/>
  <c r="I154" i="7"/>
  <c r="J153" i="7"/>
  <c r="I153" i="7"/>
  <c r="J152" i="7"/>
  <c r="I152" i="7"/>
  <c r="J151" i="7"/>
  <c r="I151" i="7"/>
  <c r="J150" i="7"/>
  <c r="I150" i="7"/>
  <c r="J149" i="7"/>
  <c r="I149" i="7"/>
  <c r="G147" i="7"/>
  <c r="J147" i="7" s="1"/>
  <c r="J146" i="7"/>
  <c r="I146" i="7"/>
  <c r="J145" i="7"/>
  <c r="I145" i="7"/>
  <c r="J144" i="7"/>
  <c r="I144" i="7"/>
  <c r="J143" i="7"/>
  <c r="I143" i="7"/>
  <c r="J138" i="7"/>
  <c r="G138" i="7"/>
  <c r="I138" i="7" s="1"/>
  <c r="J137" i="7"/>
  <c r="I137" i="7"/>
  <c r="J136" i="7"/>
  <c r="I136" i="7"/>
  <c r="J135" i="7"/>
  <c r="I135" i="7"/>
  <c r="J134" i="7"/>
  <c r="I134" i="7"/>
  <c r="J133" i="7"/>
  <c r="I133" i="7"/>
  <c r="J132" i="7"/>
  <c r="I132" i="7"/>
  <c r="J131" i="7"/>
  <c r="I131" i="7"/>
  <c r="J130" i="7"/>
  <c r="I130" i="7"/>
  <c r="J129" i="7"/>
  <c r="I129" i="7"/>
  <c r="J128" i="7"/>
  <c r="I128" i="7"/>
  <c r="J127" i="7"/>
  <c r="I127" i="7"/>
  <c r="J126" i="7"/>
  <c r="I126" i="7"/>
  <c r="J125" i="7"/>
  <c r="I125" i="7"/>
  <c r="J124" i="7"/>
  <c r="I124" i="7"/>
  <c r="G122" i="7"/>
  <c r="J122" i="7" s="1"/>
  <c r="J121" i="7"/>
  <c r="I121" i="7"/>
  <c r="J120" i="7"/>
  <c r="I120" i="7"/>
  <c r="J119" i="7"/>
  <c r="I119" i="7"/>
  <c r="J118" i="7"/>
  <c r="I118" i="7"/>
  <c r="J94" i="7"/>
  <c r="H94" i="7"/>
  <c r="I94" i="7" s="1"/>
  <c r="J93" i="7"/>
  <c r="I93" i="7"/>
  <c r="H93" i="7"/>
  <c r="H92" i="7"/>
  <c r="H91" i="7"/>
  <c r="J91" i="7" s="1"/>
  <c r="J90" i="7"/>
  <c r="H88" i="7"/>
  <c r="H87" i="7"/>
  <c r="J87" i="7" s="1"/>
  <c r="J86" i="7"/>
  <c r="H86" i="7"/>
  <c r="I86" i="7" s="1"/>
  <c r="J85" i="7"/>
  <c r="I85" i="7"/>
  <c r="H85" i="7"/>
  <c r="H84" i="7"/>
  <c r="J81" i="7"/>
  <c r="H81" i="7"/>
  <c r="I81" i="7" s="1"/>
  <c r="H79" i="7"/>
  <c r="G75" i="7"/>
  <c r="C540" i="7" s="1"/>
  <c r="H74" i="7"/>
  <c r="J74" i="7" s="1"/>
  <c r="G74" i="7"/>
  <c r="C515" i="7" s="1"/>
  <c r="G73" i="7"/>
  <c r="C490" i="7" s="1"/>
  <c r="J72" i="7"/>
  <c r="H72" i="7"/>
  <c r="G72" i="7"/>
  <c r="C465" i="7" s="1"/>
  <c r="H71" i="7"/>
  <c r="J71" i="7" s="1"/>
  <c r="G71" i="7"/>
  <c r="C440" i="7" s="1"/>
  <c r="H70" i="7"/>
  <c r="J70" i="7" s="1"/>
  <c r="G70" i="7"/>
  <c r="C415" i="7" s="1"/>
  <c r="H69" i="7"/>
  <c r="J69" i="7" s="1"/>
  <c r="G69" i="7"/>
  <c r="C390" i="7" s="1"/>
  <c r="H68" i="7"/>
  <c r="J68" i="7" s="1"/>
  <c r="G68" i="7"/>
  <c r="C365" i="7" s="1"/>
  <c r="H67" i="7"/>
  <c r="J67" i="7" s="1"/>
  <c r="G67" i="7"/>
  <c r="C340" i="7" s="1"/>
  <c r="G66" i="7"/>
  <c r="C315" i="7" s="1"/>
  <c r="G65" i="7"/>
  <c r="C290" i="7" s="1"/>
  <c r="H64" i="7"/>
  <c r="J64" i="7" s="1"/>
  <c r="G64" i="7"/>
  <c r="C265" i="7" s="1"/>
  <c r="H63" i="7"/>
  <c r="G63" i="7"/>
  <c r="C240" i="7" s="1"/>
  <c r="G62" i="7"/>
  <c r="C215" i="7" s="1"/>
  <c r="H61" i="7"/>
  <c r="G61" i="7"/>
  <c r="C190" i="7" s="1"/>
  <c r="H60" i="7"/>
  <c r="J60" i="7" s="1"/>
  <c r="G60" i="7"/>
  <c r="C165" i="7" s="1"/>
  <c r="G59" i="7"/>
  <c r="C140" i="7" s="1"/>
  <c r="H58" i="7"/>
  <c r="J58" i="7" s="1"/>
  <c r="G58" i="7"/>
  <c r="C115" i="7" s="1"/>
  <c r="D57" i="7"/>
  <c r="S56" i="7"/>
  <c r="H56" i="7"/>
  <c r="S55" i="7"/>
  <c r="H55" i="7"/>
  <c r="S54" i="7"/>
  <c r="H54" i="7"/>
  <c r="S53" i="7"/>
  <c r="H53" i="7"/>
  <c r="S52" i="7"/>
  <c r="H52" i="7"/>
  <c r="S51" i="7"/>
  <c r="H51" i="7"/>
  <c r="S50" i="7"/>
  <c r="H50" i="7"/>
  <c r="S49" i="7"/>
  <c r="H49" i="7"/>
  <c r="E45" i="7"/>
  <c r="D44" i="7"/>
  <c r="G94" i="7" s="1"/>
  <c r="F43" i="7"/>
  <c r="I43" i="7" s="1"/>
  <c r="D43" i="7"/>
  <c r="G93" i="7" s="1"/>
  <c r="D42" i="7"/>
  <c r="G92" i="7" s="1"/>
  <c r="D41" i="7"/>
  <c r="G91" i="7" s="1"/>
  <c r="D40" i="7"/>
  <c r="G90" i="7" s="1"/>
  <c r="D39" i="7"/>
  <c r="G89" i="7" s="1"/>
  <c r="D38" i="7"/>
  <c r="G88" i="7" s="1"/>
  <c r="D36" i="7"/>
  <c r="G87" i="7" s="1"/>
  <c r="F35" i="7"/>
  <c r="I35" i="7" s="1"/>
  <c r="D35" i="7"/>
  <c r="G86" i="7" s="1"/>
  <c r="F34" i="7"/>
  <c r="I34" i="7" s="1"/>
  <c r="D34" i="7"/>
  <c r="G85" i="7" s="1"/>
  <c r="D33" i="7"/>
  <c r="G84" i="7" s="1"/>
  <c r="D32" i="7"/>
  <c r="G83" i="7" s="1"/>
  <c r="D31" i="7"/>
  <c r="G82" i="7" s="1"/>
  <c r="F30" i="7"/>
  <c r="I30" i="7" s="1"/>
  <c r="D30" i="7"/>
  <c r="G81" i="7" s="1"/>
  <c r="D29" i="7"/>
  <c r="G80" i="7" s="1"/>
  <c r="D28" i="7"/>
  <c r="G79" i="7" s="1"/>
  <c r="B28" i="7"/>
  <c r="D27" i="7"/>
  <c r="G78" i="7" s="1"/>
  <c r="D26" i="7"/>
  <c r="G77" i="7" s="1"/>
  <c r="E24" i="7"/>
  <c r="F22" i="7"/>
  <c r="I20" i="7"/>
  <c r="F20" i="7"/>
  <c r="G20" i="7" s="1"/>
  <c r="F19" i="7"/>
  <c r="I19" i="7" s="1"/>
  <c r="F18" i="7"/>
  <c r="I17" i="7"/>
  <c r="F17" i="7"/>
  <c r="G17" i="7" s="1"/>
  <c r="I15" i="7"/>
  <c r="F15" i="7"/>
  <c r="B13" i="7"/>
  <c r="B11" i="7" s="1"/>
  <c r="G11" i="7"/>
  <c r="F11" i="7"/>
  <c r="I11" i="7" s="1"/>
  <c r="L9" i="7"/>
  <c r="F7" i="7"/>
  <c r="I7" i="7" s="1"/>
  <c r="B7" i="7"/>
  <c r="L5" i="7"/>
  <c r="F5" i="7"/>
  <c r="I5" i="7" s="1"/>
  <c r="L4" i="7"/>
  <c r="L10" i="7" s="1"/>
  <c r="H362" i="7" l="1"/>
  <c r="H344" i="7"/>
  <c r="H354" i="7"/>
  <c r="H351" i="7"/>
  <c r="H345" i="7"/>
  <c r="J63" i="7"/>
  <c r="F10" i="7"/>
  <c r="I10" i="7" s="1"/>
  <c r="J75" i="7"/>
  <c r="F23" i="7"/>
  <c r="I22" i="7"/>
  <c r="G22" i="7"/>
  <c r="J79" i="7"/>
  <c r="F28" i="7"/>
  <c r="I79" i="7"/>
  <c r="F33" i="7"/>
  <c r="I84" i="7"/>
  <c r="J84" i="7"/>
  <c r="I288" i="7"/>
  <c r="H83" i="7"/>
  <c r="J288" i="7"/>
  <c r="H363" i="7"/>
  <c r="G19" i="7"/>
  <c r="I297" i="7"/>
  <c r="H65" i="7"/>
  <c r="I90" i="7"/>
  <c r="F40" i="7"/>
  <c r="I40" i="7" s="1"/>
  <c r="G7" i="7"/>
  <c r="I18" i="7"/>
  <c r="G18" i="7"/>
  <c r="G30" i="7"/>
  <c r="J61" i="7"/>
  <c r="F8" i="7"/>
  <c r="F38" i="7"/>
  <c r="I88" i="7"/>
  <c r="J88" i="7"/>
  <c r="I92" i="7"/>
  <c r="J92" i="7"/>
  <c r="F42" i="7"/>
  <c r="H359" i="7"/>
  <c r="I522" i="7"/>
  <c r="J522" i="7"/>
  <c r="F41" i="7"/>
  <c r="I147" i="7"/>
  <c r="I222" i="7"/>
  <c r="I247" i="7"/>
  <c r="I322" i="7"/>
  <c r="I422" i="7"/>
  <c r="J438" i="7"/>
  <c r="G489" i="7"/>
  <c r="H487" i="7" s="1"/>
  <c r="H488" i="7"/>
  <c r="I547" i="7"/>
  <c r="F14" i="7"/>
  <c r="I14" i="7" s="1"/>
  <c r="H62" i="7"/>
  <c r="I87" i="7"/>
  <c r="I91" i="7"/>
  <c r="I122" i="7"/>
  <c r="J172" i="7"/>
  <c r="F36" i="7"/>
  <c r="F44" i="7"/>
  <c r="I44" i="7" s="1"/>
  <c r="H59" i="7"/>
  <c r="H66" i="7"/>
  <c r="F13" i="7" s="1"/>
  <c r="H80" i="7"/>
  <c r="H89" i="7"/>
  <c r="G289" i="7"/>
  <c r="H347" i="7"/>
  <c r="J422" i="7"/>
  <c r="J472" i="7"/>
  <c r="J164" i="7"/>
  <c r="H160" i="7"/>
  <c r="H156" i="7"/>
  <c r="H152" i="7"/>
  <c r="H147" i="7"/>
  <c r="H146" i="7"/>
  <c r="I164" i="7"/>
  <c r="H161" i="7"/>
  <c r="H157" i="7"/>
  <c r="H153" i="7"/>
  <c r="H149" i="7"/>
  <c r="H143" i="7"/>
  <c r="H164" i="7"/>
  <c r="H162" i="7"/>
  <c r="H158" i="7"/>
  <c r="H154" i="7"/>
  <c r="H150" i="7"/>
  <c r="H144" i="7"/>
  <c r="H159" i="7"/>
  <c r="H155" i="7"/>
  <c r="H151" i="7"/>
  <c r="H145" i="7"/>
  <c r="I13" i="7"/>
  <c r="G13" i="7"/>
  <c r="H184" i="7"/>
  <c r="H180" i="7"/>
  <c r="H176" i="7"/>
  <c r="H170" i="7"/>
  <c r="J189" i="7"/>
  <c r="H185" i="7"/>
  <c r="H181" i="7"/>
  <c r="H177" i="7"/>
  <c r="H171" i="7"/>
  <c r="I189" i="7"/>
  <c r="H186" i="7"/>
  <c r="H182" i="7"/>
  <c r="H178" i="7"/>
  <c r="H174" i="7"/>
  <c r="H168" i="7"/>
  <c r="G34" i="7"/>
  <c r="G43" i="7"/>
  <c r="E46" i="7"/>
  <c r="J66" i="7"/>
  <c r="H169" i="7"/>
  <c r="H179" i="7"/>
  <c r="H189" i="7"/>
  <c r="J263" i="7"/>
  <c r="I263" i="7"/>
  <c r="H82" i="7"/>
  <c r="J397" i="7"/>
  <c r="G414" i="7"/>
  <c r="H397" i="7" s="1"/>
  <c r="I397" i="7"/>
  <c r="G5" i="7"/>
  <c r="L11" i="7"/>
  <c r="L12" i="7" s="1"/>
  <c r="B21" i="7" s="1"/>
  <c r="B16" i="7" s="1"/>
  <c r="B24" i="7" s="1"/>
  <c r="G15" i="7"/>
  <c r="G35" i="7"/>
  <c r="G40" i="7"/>
  <c r="G44" i="7"/>
  <c r="H95" i="7"/>
  <c r="H96" i="7"/>
  <c r="H183" i="7"/>
  <c r="G264" i="7"/>
  <c r="H263" i="7" s="1"/>
  <c r="J163" i="7"/>
  <c r="I163" i="7"/>
  <c r="H78" i="7"/>
  <c r="H163" i="7"/>
  <c r="H175" i="7"/>
  <c r="G10" i="7"/>
  <c r="F21" i="7"/>
  <c r="H187" i="7"/>
  <c r="H188" i="7"/>
  <c r="J197" i="7"/>
  <c r="G214" i="7"/>
  <c r="I197" i="7"/>
  <c r="H197" i="7"/>
  <c r="I339" i="7"/>
  <c r="H336" i="7"/>
  <c r="H332" i="7"/>
  <c r="H328" i="7"/>
  <c r="H324" i="7"/>
  <c r="H318" i="7"/>
  <c r="H339" i="7"/>
  <c r="H337" i="7"/>
  <c r="H333" i="7"/>
  <c r="H329" i="7"/>
  <c r="H325" i="7"/>
  <c r="H319" i="7"/>
  <c r="H335" i="7"/>
  <c r="H327" i="7"/>
  <c r="H330" i="7"/>
  <c r="H320" i="7"/>
  <c r="J339" i="7"/>
  <c r="H331" i="7"/>
  <c r="H322" i="7"/>
  <c r="H321" i="7"/>
  <c r="G139" i="7"/>
  <c r="H138" i="7" s="1"/>
  <c r="G239" i="7"/>
  <c r="H280" i="7"/>
  <c r="H276" i="7"/>
  <c r="H287" i="7"/>
  <c r="H288" i="7"/>
  <c r="J364" i="7"/>
  <c r="H360" i="7"/>
  <c r="H356" i="7"/>
  <c r="H352" i="7"/>
  <c r="H346" i="7"/>
  <c r="I364" i="7"/>
  <c r="H361" i="7"/>
  <c r="H357" i="7"/>
  <c r="H353" i="7"/>
  <c r="H349" i="7"/>
  <c r="H343" i="7"/>
  <c r="I439" i="7"/>
  <c r="H436" i="7"/>
  <c r="H432" i="7"/>
  <c r="H428" i="7"/>
  <c r="H424" i="7"/>
  <c r="H418" i="7"/>
  <c r="H439" i="7"/>
  <c r="H437" i="7"/>
  <c r="H433" i="7"/>
  <c r="H429" i="7"/>
  <c r="H425" i="7"/>
  <c r="H419" i="7"/>
  <c r="H434" i="7"/>
  <c r="H430" i="7"/>
  <c r="H426" i="7"/>
  <c r="H420" i="7"/>
  <c r="H435" i="7"/>
  <c r="J463" i="7"/>
  <c r="I463" i="7"/>
  <c r="H484" i="7"/>
  <c r="H480" i="7"/>
  <c r="H476" i="7"/>
  <c r="H470" i="7"/>
  <c r="J489" i="7"/>
  <c r="H485" i="7"/>
  <c r="H481" i="7"/>
  <c r="H477" i="7"/>
  <c r="H471" i="7"/>
  <c r="I489" i="7"/>
  <c r="H486" i="7"/>
  <c r="H482" i="7"/>
  <c r="H478" i="7"/>
  <c r="H474" i="7"/>
  <c r="H468" i="7"/>
  <c r="H475" i="7"/>
  <c r="J497" i="7"/>
  <c r="G514" i="7"/>
  <c r="H513" i="7" s="1"/>
  <c r="I497" i="7"/>
  <c r="H497" i="7"/>
  <c r="H77" i="7"/>
  <c r="H172" i="7"/>
  <c r="H238" i="7"/>
  <c r="H283" i="7"/>
  <c r="H286" i="7"/>
  <c r="J297" i="7"/>
  <c r="G314" i="7"/>
  <c r="H313" i="7" s="1"/>
  <c r="I338" i="7"/>
  <c r="H338" i="7"/>
  <c r="H350" i="7"/>
  <c r="H358" i="7"/>
  <c r="H364" i="7"/>
  <c r="G389" i="7"/>
  <c r="I372" i="7"/>
  <c r="H372" i="7"/>
  <c r="H421" i="7"/>
  <c r="H422" i="7"/>
  <c r="J439" i="7"/>
  <c r="G464" i="7"/>
  <c r="H469" i="7"/>
  <c r="H479" i="7"/>
  <c r="J563" i="7"/>
  <c r="I563" i="7"/>
  <c r="H563" i="7"/>
  <c r="I172" i="7"/>
  <c r="I272" i="7"/>
  <c r="H279" i="7"/>
  <c r="H355" i="7"/>
  <c r="J363" i="7"/>
  <c r="I363" i="7"/>
  <c r="H427" i="7"/>
  <c r="H483" i="7"/>
  <c r="H489" i="7"/>
  <c r="G564" i="7"/>
  <c r="H547" i="7" s="1"/>
  <c r="J413" i="7"/>
  <c r="J447" i="7"/>
  <c r="J513" i="7"/>
  <c r="G539" i="7"/>
  <c r="J547" i="7"/>
  <c r="H438" i="7"/>
  <c r="H472" i="7"/>
  <c r="H538" i="7"/>
  <c r="I472" i="7"/>
  <c r="I5" i="5"/>
  <c r="H5" i="5"/>
  <c r="G5" i="5"/>
  <c r="H289" i="7" l="1"/>
  <c r="H275" i="7"/>
  <c r="H281" i="7"/>
  <c r="H268" i="7"/>
  <c r="H278" i="7"/>
  <c r="H269" i="7"/>
  <c r="H285" i="7"/>
  <c r="H270" i="7"/>
  <c r="H272" i="7"/>
  <c r="H277" i="7"/>
  <c r="H284" i="7"/>
  <c r="J89" i="7"/>
  <c r="F39" i="7"/>
  <c r="I89" i="7"/>
  <c r="J83" i="7"/>
  <c r="I83" i="7"/>
  <c r="F32" i="7"/>
  <c r="I33" i="7"/>
  <c r="G33" i="7"/>
  <c r="J59" i="7"/>
  <c r="F6" i="7"/>
  <c r="I8" i="7"/>
  <c r="G8" i="7"/>
  <c r="J65" i="7"/>
  <c r="F12" i="7"/>
  <c r="H282" i="7"/>
  <c r="J289" i="7"/>
  <c r="H271" i="7"/>
  <c r="H413" i="7"/>
  <c r="I289" i="7"/>
  <c r="H274" i="7"/>
  <c r="G14" i="7"/>
  <c r="J80" i="7"/>
  <c r="I80" i="7"/>
  <c r="F29" i="7"/>
  <c r="G36" i="7"/>
  <c r="I36" i="7"/>
  <c r="G41" i="7"/>
  <c r="I41" i="7"/>
  <c r="I42" i="7"/>
  <c r="G42" i="7"/>
  <c r="J62" i="7"/>
  <c r="F9" i="7"/>
  <c r="I38" i="7"/>
  <c r="G38" i="7"/>
  <c r="I28" i="7"/>
  <c r="G28" i="7"/>
  <c r="I23" i="7"/>
  <c r="G23" i="7"/>
  <c r="I78" i="7"/>
  <c r="J78" i="7"/>
  <c r="F27" i="7"/>
  <c r="J464" i="7"/>
  <c r="H460" i="7"/>
  <c r="H456" i="7"/>
  <c r="H452" i="7"/>
  <c r="H446" i="7"/>
  <c r="I464" i="7"/>
  <c r="H461" i="7"/>
  <c r="H457" i="7"/>
  <c r="H453" i="7"/>
  <c r="H449" i="7"/>
  <c r="H443" i="7"/>
  <c r="H464" i="7"/>
  <c r="H462" i="7"/>
  <c r="H458" i="7"/>
  <c r="H454" i="7"/>
  <c r="H450" i="7"/>
  <c r="H444" i="7"/>
  <c r="H455" i="7"/>
  <c r="H445" i="7"/>
  <c r="H451" i="7"/>
  <c r="H459" i="7"/>
  <c r="H314" i="7"/>
  <c r="H312" i="7"/>
  <c r="H308" i="7"/>
  <c r="H304" i="7"/>
  <c r="H300" i="7"/>
  <c r="H294" i="7"/>
  <c r="H309" i="7"/>
  <c r="H305" i="7"/>
  <c r="H306" i="7"/>
  <c r="H297" i="7"/>
  <c r="H296" i="7"/>
  <c r="H293" i="7"/>
  <c r="H307" i="7"/>
  <c r="H301" i="7"/>
  <c r="J314" i="7"/>
  <c r="H310" i="7"/>
  <c r="H302" i="7"/>
  <c r="H299" i="7"/>
  <c r="I314" i="7"/>
  <c r="H311" i="7"/>
  <c r="H295" i="7"/>
  <c r="H303" i="7"/>
  <c r="H463" i="7"/>
  <c r="H447" i="7"/>
  <c r="B25" i="7"/>
  <c r="B29" i="7" s="1"/>
  <c r="I539" i="7"/>
  <c r="H536" i="7"/>
  <c r="H532" i="7"/>
  <c r="H528" i="7"/>
  <c r="H524" i="7"/>
  <c r="H518" i="7"/>
  <c r="H539" i="7"/>
  <c r="H537" i="7"/>
  <c r="H533" i="7"/>
  <c r="H529" i="7"/>
  <c r="H525" i="7"/>
  <c r="H519" i="7"/>
  <c r="H534" i="7"/>
  <c r="H530" i="7"/>
  <c r="H526" i="7"/>
  <c r="H520" i="7"/>
  <c r="J539" i="7"/>
  <c r="H522" i="7"/>
  <c r="H521" i="7"/>
  <c r="H535" i="7"/>
  <c r="H531" i="7"/>
  <c r="H527" i="7"/>
  <c r="J564" i="7"/>
  <c r="H560" i="7"/>
  <c r="H556" i="7"/>
  <c r="H552" i="7"/>
  <c r="H546" i="7"/>
  <c r="I564" i="7"/>
  <c r="H561" i="7"/>
  <c r="H557" i="7"/>
  <c r="H553" i="7"/>
  <c r="H549" i="7"/>
  <c r="H543" i="7"/>
  <c r="H564" i="7"/>
  <c r="H562" i="7"/>
  <c r="H558" i="7"/>
  <c r="H554" i="7"/>
  <c r="H550" i="7"/>
  <c r="H544" i="7"/>
  <c r="H551" i="7"/>
  <c r="H559" i="7"/>
  <c r="H545" i="7"/>
  <c r="H555" i="7"/>
  <c r="I239" i="7"/>
  <c r="H236" i="7"/>
  <c r="H232" i="7"/>
  <c r="H228" i="7"/>
  <c r="H224" i="7"/>
  <c r="H218" i="7"/>
  <c r="H239" i="7"/>
  <c r="H237" i="7"/>
  <c r="H233" i="7"/>
  <c r="H229" i="7"/>
  <c r="H225" i="7"/>
  <c r="H219" i="7"/>
  <c r="H234" i="7"/>
  <c r="H230" i="7"/>
  <c r="H226" i="7"/>
  <c r="H220" i="7"/>
  <c r="H231" i="7"/>
  <c r="H235" i="7"/>
  <c r="H227" i="7"/>
  <c r="H222" i="7"/>
  <c r="H221" i="7"/>
  <c r="J239" i="7"/>
  <c r="H214" i="7"/>
  <c r="H213" i="7"/>
  <c r="H212" i="7"/>
  <c r="H208" i="7"/>
  <c r="H204" i="7"/>
  <c r="H200" i="7"/>
  <c r="H194" i="7"/>
  <c r="H209" i="7"/>
  <c r="H205" i="7"/>
  <c r="H201" i="7"/>
  <c r="H195" i="7"/>
  <c r="J214" i="7"/>
  <c r="H210" i="7"/>
  <c r="H206" i="7"/>
  <c r="H202" i="7"/>
  <c r="H196" i="7"/>
  <c r="I214" i="7"/>
  <c r="H211" i="7"/>
  <c r="H207" i="7"/>
  <c r="H193" i="7"/>
  <c r="H199" i="7"/>
  <c r="H203" i="7"/>
  <c r="I82" i="7"/>
  <c r="J82" i="7"/>
  <c r="F31" i="7"/>
  <c r="H384" i="7"/>
  <c r="H380" i="7"/>
  <c r="H376" i="7"/>
  <c r="H370" i="7"/>
  <c r="J389" i="7"/>
  <c r="H385" i="7"/>
  <c r="H381" i="7"/>
  <c r="H377" i="7"/>
  <c r="H371" i="7"/>
  <c r="H383" i="7"/>
  <c r="H375" i="7"/>
  <c r="H369" i="7"/>
  <c r="H386" i="7"/>
  <c r="H378" i="7"/>
  <c r="I389" i="7"/>
  <c r="H388" i="7"/>
  <c r="H387" i="7"/>
  <c r="H379" i="7"/>
  <c r="H374" i="7"/>
  <c r="H389" i="7"/>
  <c r="H368" i="7"/>
  <c r="H382" i="7"/>
  <c r="I77" i="7"/>
  <c r="F26" i="7"/>
  <c r="J77" i="7"/>
  <c r="H97" i="7"/>
  <c r="J97" i="7" s="1"/>
  <c r="H514" i="7"/>
  <c r="H512" i="7"/>
  <c r="H508" i="7"/>
  <c r="H504" i="7"/>
  <c r="H500" i="7"/>
  <c r="H494" i="7"/>
  <c r="H509" i="7"/>
  <c r="H505" i="7"/>
  <c r="H501" i="7"/>
  <c r="H495" i="7"/>
  <c r="J514" i="7"/>
  <c r="H510" i="7"/>
  <c r="H506" i="7"/>
  <c r="H502" i="7"/>
  <c r="H496" i="7"/>
  <c r="H503" i="7"/>
  <c r="H499" i="7"/>
  <c r="H511" i="7"/>
  <c r="H493" i="7"/>
  <c r="H507" i="7"/>
  <c r="I514" i="7"/>
  <c r="I139" i="7"/>
  <c r="H136" i="7"/>
  <c r="H132" i="7"/>
  <c r="H128" i="7"/>
  <c r="H124" i="7"/>
  <c r="H118" i="7"/>
  <c r="H139" i="7"/>
  <c r="H137" i="7"/>
  <c r="H133" i="7"/>
  <c r="H129" i="7"/>
  <c r="H125" i="7"/>
  <c r="H119" i="7"/>
  <c r="H134" i="7"/>
  <c r="H130" i="7"/>
  <c r="H126" i="7"/>
  <c r="H120" i="7"/>
  <c r="H135" i="7"/>
  <c r="H131" i="7"/>
  <c r="H127" i="7"/>
  <c r="H122" i="7"/>
  <c r="H121" i="7"/>
  <c r="J139" i="7"/>
  <c r="I21" i="7"/>
  <c r="G21" i="7"/>
  <c r="J264" i="7"/>
  <c r="H260" i="7"/>
  <c r="H256" i="7"/>
  <c r="H252" i="7"/>
  <c r="H247" i="7"/>
  <c r="H246" i="7"/>
  <c r="I264" i="7"/>
  <c r="H261" i="7"/>
  <c r="H257" i="7"/>
  <c r="H253" i="7"/>
  <c r="H249" i="7"/>
  <c r="H243" i="7"/>
  <c r="H264" i="7"/>
  <c r="H262" i="7"/>
  <c r="H258" i="7"/>
  <c r="H254" i="7"/>
  <c r="H250" i="7"/>
  <c r="H244" i="7"/>
  <c r="H255" i="7"/>
  <c r="H251" i="7"/>
  <c r="H245" i="7"/>
  <c r="H259" i="7"/>
  <c r="H414" i="7"/>
  <c r="H412" i="7"/>
  <c r="H408" i="7"/>
  <c r="H404" i="7"/>
  <c r="H400" i="7"/>
  <c r="H394" i="7"/>
  <c r="H409" i="7"/>
  <c r="H405" i="7"/>
  <c r="H401" i="7"/>
  <c r="H395" i="7"/>
  <c r="J414" i="7"/>
  <c r="I414" i="7"/>
  <c r="H406" i="7"/>
  <c r="H407" i="7"/>
  <c r="H399" i="7"/>
  <c r="H393" i="7"/>
  <c r="H410" i="7"/>
  <c r="H402" i="7"/>
  <c r="H396" i="7"/>
  <c r="H411" i="7"/>
  <c r="H403" i="7"/>
  <c r="C2" i="5"/>
  <c r="B2" i="5"/>
  <c r="I2" i="5"/>
  <c r="H2" i="5"/>
  <c r="G2" i="5"/>
  <c r="I9" i="7" l="1"/>
  <c r="G9" i="7"/>
  <c r="I29" i="7"/>
  <c r="G29" i="7"/>
  <c r="I97" i="7"/>
  <c r="I98" i="7" s="1"/>
  <c r="J96" i="7"/>
  <c r="J98" i="7" s="1"/>
  <c r="I12" i="7"/>
  <c r="G12" i="7"/>
  <c r="I6" i="7"/>
  <c r="G6" i="7"/>
  <c r="F24" i="7"/>
  <c r="G32" i="7"/>
  <c r="I32" i="7"/>
  <c r="I39" i="7"/>
  <c r="G39" i="7"/>
  <c r="H98" i="7"/>
  <c r="F45" i="7"/>
  <c r="I26" i="7"/>
  <c r="G26" i="7"/>
  <c r="G31" i="7"/>
  <c r="I31" i="7"/>
  <c r="B26" i="7"/>
  <c r="B30" i="7" s="1"/>
  <c r="B31" i="7" s="1"/>
  <c r="G27" i="7"/>
  <c r="I27" i="7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D57" i="1"/>
  <c r="S56" i="1"/>
  <c r="S55" i="1"/>
  <c r="S54" i="1"/>
  <c r="S53" i="1"/>
  <c r="S52" i="1"/>
  <c r="S51" i="1"/>
  <c r="S50" i="1"/>
  <c r="S49" i="1"/>
  <c r="I24" i="7" l="1"/>
  <c r="G24" i="7"/>
  <c r="F46" i="7"/>
  <c r="I45" i="7"/>
  <c r="G45" i="7"/>
  <c r="H10" i="5" a="1"/>
  <c r="H10" i="5" s="1"/>
  <c r="H7" i="5" a="1"/>
  <c r="H7" i="5" s="1"/>
  <c r="H13" i="5" a="1"/>
  <c r="H13" i="5" s="1"/>
  <c r="H16" i="5" a="1"/>
  <c r="H16" i="5" s="1"/>
  <c r="H21" i="5" a="1"/>
  <c r="H21" i="5" s="1"/>
  <c r="H6" i="5" a="1"/>
  <c r="H8" i="5" a="1"/>
  <c r="H8" i="5" s="1"/>
  <c r="H11" i="5" a="1"/>
  <c r="H11" i="5" s="1"/>
  <c r="H14" i="5" a="1"/>
  <c r="H14" i="5" s="1"/>
  <c r="H19" i="5" a="1"/>
  <c r="H19" i="5" s="1"/>
  <c r="H22" i="5" a="1"/>
  <c r="H22" i="5" s="1"/>
  <c r="H9" i="5" a="1"/>
  <c r="H9" i="5" s="1"/>
  <c r="H12" i="5" a="1"/>
  <c r="H12" i="5" s="1"/>
  <c r="H17" i="5" a="1"/>
  <c r="H17" i="5" s="1"/>
  <c r="H20" i="5" a="1"/>
  <c r="H20" i="5" s="1"/>
  <c r="H15" i="5" a="1"/>
  <c r="H15" i="5" s="1"/>
  <c r="H18" i="5" a="1"/>
  <c r="H18" i="5" s="1"/>
  <c r="H23" i="5" a="1"/>
  <c r="H23" i="5" s="1"/>
  <c r="I46" i="7" l="1"/>
  <c r="H22" i="7"/>
  <c r="H12" i="7"/>
  <c r="H8" i="7"/>
  <c r="H18" i="7"/>
  <c r="H9" i="7"/>
  <c r="H7" i="7"/>
  <c r="H41" i="7"/>
  <c r="H36" i="7"/>
  <c r="H32" i="7"/>
  <c r="H42" i="7"/>
  <c r="H38" i="7"/>
  <c r="H33" i="7"/>
  <c r="H30" i="7"/>
  <c r="H28" i="7"/>
  <c r="H23" i="7"/>
  <c r="H20" i="7"/>
  <c r="H19" i="7"/>
  <c r="H17" i="7"/>
  <c r="H11" i="7"/>
  <c r="H6" i="7"/>
  <c r="H15" i="7"/>
  <c r="H35" i="7"/>
  <c r="H29" i="7"/>
  <c r="H44" i="7"/>
  <c r="H39" i="7"/>
  <c r="H14" i="7"/>
  <c r="H13" i="7"/>
  <c r="H10" i="7"/>
  <c r="H5" i="7"/>
  <c r="H34" i="7"/>
  <c r="H43" i="7"/>
  <c r="H40" i="7"/>
  <c r="H24" i="7"/>
  <c r="G46" i="7"/>
  <c r="H21" i="7"/>
  <c r="H31" i="7"/>
  <c r="H27" i="7"/>
  <c r="H26" i="7"/>
  <c r="H45" i="7"/>
  <c r="H6" i="5"/>
  <c r="K3" i="5"/>
  <c r="G563" i="1" l="1"/>
  <c r="J562" i="1"/>
  <c r="I562" i="1"/>
  <c r="J561" i="1"/>
  <c r="I561" i="1"/>
  <c r="J560" i="1"/>
  <c r="I560" i="1"/>
  <c r="J559" i="1"/>
  <c r="I559" i="1"/>
  <c r="J558" i="1"/>
  <c r="I558" i="1"/>
  <c r="J557" i="1"/>
  <c r="I557" i="1"/>
  <c r="J556" i="1"/>
  <c r="I556" i="1"/>
  <c r="J555" i="1"/>
  <c r="I555" i="1"/>
  <c r="J554" i="1"/>
  <c r="I554" i="1"/>
  <c r="J553" i="1"/>
  <c r="I553" i="1"/>
  <c r="J552" i="1"/>
  <c r="I552" i="1"/>
  <c r="J551" i="1"/>
  <c r="I551" i="1"/>
  <c r="J550" i="1"/>
  <c r="I550" i="1"/>
  <c r="J549" i="1"/>
  <c r="I549" i="1"/>
  <c r="G547" i="1"/>
  <c r="H75" i="1" s="1"/>
  <c r="C20" i="2" s="1"/>
  <c r="J546" i="1"/>
  <c r="I546" i="1"/>
  <c r="J545" i="1"/>
  <c r="I545" i="1"/>
  <c r="J544" i="1"/>
  <c r="I544" i="1"/>
  <c r="J543" i="1"/>
  <c r="I543" i="1"/>
  <c r="G538" i="1"/>
  <c r="J537" i="1"/>
  <c r="I537" i="1"/>
  <c r="J536" i="1"/>
  <c r="I536" i="1"/>
  <c r="J535" i="1"/>
  <c r="I535" i="1"/>
  <c r="J534" i="1"/>
  <c r="I534" i="1"/>
  <c r="J533" i="1"/>
  <c r="I533" i="1"/>
  <c r="J532" i="1"/>
  <c r="I532" i="1"/>
  <c r="J531" i="1"/>
  <c r="I531" i="1"/>
  <c r="J530" i="1"/>
  <c r="I530" i="1"/>
  <c r="J529" i="1"/>
  <c r="I529" i="1"/>
  <c r="J528" i="1"/>
  <c r="I528" i="1"/>
  <c r="J527" i="1"/>
  <c r="I527" i="1"/>
  <c r="J526" i="1"/>
  <c r="I526" i="1"/>
  <c r="J525" i="1"/>
  <c r="I525" i="1"/>
  <c r="J524" i="1"/>
  <c r="I524" i="1"/>
  <c r="G522" i="1"/>
  <c r="H74" i="1" s="1"/>
  <c r="C19" i="2" s="1"/>
  <c r="J521" i="1"/>
  <c r="I521" i="1"/>
  <c r="J520" i="1"/>
  <c r="I520" i="1"/>
  <c r="J519" i="1"/>
  <c r="I519" i="1"/>
  <c r="J518" i="1"/>
  <c r="I518" i="1"/>
  <c r="G513" i="1"/>
  <c r="J512" i="1"/>
  <c r="I512" i="1"/>
  <c r="J511" i="1"/>
  <c r="I511" i="1"/>
  <c r="J510" i="1"/>
  <c r="I510" i="1"/>
  <c r="J509" i="1"/>
  <c r="I509" i="1"/>
  <c r="J508" i="1"/>
  <c r="I508" i="1"/>
  <c r="J507" i="1"/>
  <c r="I507" i="1"/>
  <c r="J506" i="1"/>
  <c r="I506" i="1"/>
  <c r="J505" i="1"/>
  <c r="I505" i="1"/>
  <c r="J504" i="1"/>
  <c r="I504" i="1"/>
  <c r="J503" i="1"/>
  <c r="I503" i="1"/>
  <c r="J502" i="1"/>
  <c r="I502" i="1"/>
  <c r="J501" i="1"/>
  <c r="I501" i="1"/>
  <c r="J500" i="1"/>
  <c r="I500" i="1"/>
  <c r="J499" i="1"/>
  <c r="I499" i="1"/>
  <c r="G497" i="1"/>
  <c r="J496" i="1"/>
  <c r="I496" i="1"/>
  <c r="J495" i="1"/>
  <c r="I495" i="1"/>
  <c r="J494" i="1"/>
  <c r="I494" i="1"/>
  <c r="J493" i="1"/>
  <c r="I493" i="1"/>
  <c r="G488" i="1"/>
  <c r="J487" i="1"/>
  <c r="I487" i="1"/>
  <c r="J486" i="1"/>
  <c r="I486" i="1"/>
  <c r="J485" i="1"/>
  <c r="I485" i="1"/>
  <c r="J484" i="1"/>
  <c r="I484" i="1"/>
  <c r="J483" i="1"/>
  <c r="I483" i="1"/>
  <c r="J482" i="1"/>
  <c r="I482" i="1"/>
  <c r="J481" i="1"/>
  <c r="I481" i="1"/>
  <c r="J480" i="1"/>
  <c r="I480" i="1"/>
  <c r="J479" i="1"/>
  <c r="I479" i="1"/>
  <c r="J478" i="1"/>
  <c r="I478" i="1"/>
  <c r="J477" i="1"/>
  <c r="I477" i="1"/>
  <c r="J476" i="1"/>
  <c r="I476" i="1"/>
  <c r="J475" i="1"/>
  <c r="I475" i="1"/>
  <c r="J474" i="1"/>
  <c r="I474" i="1"/>
  <c r="G472" i="1"/>
  <c r="J471" i="1"/>
  <c r="I471" i="1"/>
  <c r="J470" i="1"/>
  <c r="I470" i="1"/>
  <c r="J469" i="1"/>
  <c r="I469" i="1"/>
  <c r="J468" i="1"/>
  <c r="I468" i="1"/>
  <c r="G463" i="1"/>
  <c r="J462" i="1"/>
  <c r="I462" i="1"/>
  <c r="J461" i="1"/>
  <c r="I461" i="1"/>
  <c r="J460" i="1"/>
  <c r="I460" i="1"/>
  <c r="J459" i="1"/>
  <c r="I459" i="1"/>
  <c r="J458" i="1"/>
  <c r="I458" i="1"/>
  <c r="J457" i="1"/>
  <c r="I457" i="1"/>
  <c r="J456" i="1"/>
  <c r="I456" i="1"/>
  <c r="J455" i="1"/>
  <c r="I455" i="1"/>
  <c r="J454" i="1"/>
  <c r="I454" i="1"/>
  <c r="J453" i="1"/>
  <c r="I453" i="1"/>
  <c r="J452" i="1"/>
  <c r="I452" i="1"/>
  <c r="J451" i="1"/>
  <c r="I451" i="1"/>
  <c r="J450" i="1"/>
  <c r="I450" i="1"/>
  <c r="J449" i="1"/>
  <c r="I449" i="1"/>
  <c r="G447" i="1"/>
  <c r="J446" i="1"/>
  <c r="I446" i="1"/>
  <c r="J445" i="1"/>
  <c r="I445" i="1"/>
  <c r="J444" i="1"/>
  <c r="I444" i="1"/>
  <c r="J443" i="1"/>
  <c r="I443" i="1"/>
  <c r="G438" i="1"/>
  <c r="J437" i="1"/>
  <c r="I437" i="1"/>
  <c r="J436" i="1"/>
  <c r="I436" i="1"/>
  <c r="J435" i="1"/>
  <c r="I435" i="1"/>
  <c r="J434" i="1"/>
  <c r="I434" i="1"/>
  <c r="J433" i="1"/>
  <c r="I433" i="1"/>
  <c r="J432" i="1"/>
  <c r="I432" i="1"/>
  <c r="J431" i="1"/>
  <c r="I431" i="1"/>
  <c r="J430" i="1"/>
  <c r="I430" i="1"/>
  <c r="J429" i="1"/>
  <c r="I429" i="1"/>
  <c r="J428" i="1"/>
  <c r="I428" i="1"/>
  <c r="J427" i="1"/>
  <c r="I427" i="1"/>
  <c r="J426" i="1"/>
  <c r="I426" i="1"/>
  <c r="J425" i="1"/>
  <c r="I425" i="1"/>
  <c r="J424" i="1"/>
  <c r="I424" i="1"/>
  <c r="G422" i="1"/>
  <c r="J421" i="1"/>
  <c r="I421" i="1"/>
  <c r="J420" i="1"/>
  <c r="I420" i="1"/>
  <c r="J419" i="1"/>
  <c r="I419" i="1"/>
  <c r="J418" i="1"/>
  <c r="I418" i="1"/>
  <c r="G413" i="1"/>
  <c r="J412" i="1"/>
  <c r="I412" i="1"/>
  <c r="J411" i="1"/>
  <c r="I411" i="1"/>
  <c r="J410" i="1"/>
  <c r="I410" i="1"/>
  <c r="J409" i="1"/>
  <c r="I409" i="1"/>
  <c r="J408" i="1"/>
  <c r="I408" i="1"/>
  <c r="J407" i="1"/>
  <c r="I407" i="1"/>
  <c r="J406" i="1"/>
  <c r="I406" i="1"/>
  <c r="J405" i="1"/>
  <c r="I405" i="1"/>
  <c r="J404" i="1"/>
  <c r="I404" i="1"/>
  <c r="J403" i="1"/>
  <c r="I403" i="1"/>
  <c r="J402" i="1"/>
  <c r="I402" i="1"/>
  <c r="J401" i="1"/>
  <c r="I401" i="1"/>
  <c r="J400" i="1"/>
  <c r="I400" i="1"/>
  <c r="J399" i="1"/>
  <c r="I399" i="1"/>
  <c r="G397" i="1"/>
  <c r="J396" i="1"/>
  <c r="I396" i="1"/>
  <c r="J395" i="1"/>
  <c r="I395" i="1"/>
  <c r="J394" i="1"/>
  <c r="I394" i="1"/>
  <c r="J393" i="1"/>
  <c r="I393" i="1"/>
  <c r="G388" i="1"/>
  <c r="J387" i="1"/>
  <c r="I387" i="1"/>
  <c r="J386" i="1"/>
  <c r="I386" i="1"/>
  <c r="J385" i="1"/>
  <c r="I385" i="1"/>
  <c r="J384" i="1"/>
  <c r="I384" i="1"/>
  <c r="J383" i="1"/>
  <c r="I383" i="1"/>
  <c r="J382" i="1"/>
  <c r="I382" i="1"/>
  <c r="J381" i="1"/>
  <c r="I381" i="1"/>
  <c r="J380" i="1"/>
  <c r="I380" i="1"/>
  <c r="J379" i="1"/>
  <c r="I379" i="1"/>
  <c r="J378" i="1"/>
  <c r="I378" i="1"/>
  <c r="J377" i="1"/>
  <c r="I377" i="1"/>
  <c r="J376" i="1"/>
  <c r="I376" i="1"/>
  <c r="J375" i="1"/>
  <c r="I375" i="1"/>
  <c r="J374" i="1"/>
  <c r="I374" i="1"/>
  <c r="G372" i="1"/>
  <c r="H68" i="1" s="1"/>
  <c r="C13" i="2" s="1"/>
  <c r="J371" i="1"/>
  <c r="I371" i="1"/>
  <c r="J370" i="1"/>
  <c r="I370" i="1"/>
  <c r="J369" i="1"/>
  <c r="I369" i="1"/>
  <c r="J368" i="1"/>
  <c r="I368" i="1"/>
  <c r="G363" i="1"/>
  <c r="J362" i="1"/>
  <c r="I362" i="1"/>
  <c r="J361" i="1"/>
  <c r="I361" i="1"/>
  <c r="J360" i="1"/>
  <c r="I360" i="1"/>
  <c r="J359" i="1"/>
  <c r="I359" i="1"/>
  <c r="J358" i="1"/>
  <c r="I358" i="1"/>
  <c r="J357" i="1"/>
  <c r="I357" i="1"/>
  <c r="J356" i="1"/>
  <c r="I356" i="1"/>
  <c r="J355" i="1"/>
  <c r="I355" i="1"/>
  <c r="J354" i="1"/>
  <c r="I354" i="1"/>
  <c r="J353" i="1"/>
  <c r="I353" i="1"/>
  <c r="J352" i="1"/>
  <c r="I352" i="1"/>
  <c r="J351" i="1"/>
  <c r="I351" i="1"/>
  <c r="J350" i="1"/>
  <c r="I350" i="1"/>
  <c r="J349" i="1"/>
  <c r="I349" i="1"/>
  <c r="G347" i="1"/>
  <c r="J346" i="1"/>
  <c r="I346" i="1"/>
  <c r="J345" i="1"/>
  <c r="I345" i="1"/>
  <c r="J344" i="1"/>
  <c r="I344" i="1"/>
  <c r="J343" i="1"/>
  <c r="I343" i="1"/>
  <c r="G338" i="1"/>
  <c r="J337" i="1"/>
  <c r="I337" i="1"/>
  <c r="J336" i="1"/>
  <c r="I336" i="1"/>
  <c r="J335" i="1"/>
  <c r="I335" i="1"/>
  <c r="J334" i="1"/>
  <c r="I334" i="1"/>
  <c r="J333" i="1"/>
  <c r="I333" i="1"/>
  <c r="J332" i="1"/>
  <c r="I332" i="1"/>
  <c r="J331" i="1"/>
  <c r="I331" i="1"/>
  <c r="J330" i="1"/>
  <c r="I330" i="1"/>
  <c r="J329" i="1"/>
  <c r="I329" i="1"/>
  <c r="J328" i="1"/>
  <c r="I328" i="1"/>
  <c r="J327" i="1"/>
  <c r="I327" i="1"/>
  <c r="J326" i="1"/>
  <c r="I326" i="1"/>
  <c r="J325" i="1"/>
  <c r="I325" i="1"/>
  <c r="J324" i="1"/>
  <c r="I324" i="1"/>
  <c r="G322" i="1"/>
  <c r="J321" i="1"/>
  <c r="I321" i="1"/>
  <c r="J320" i="1"/>
  <c r="I320" i="1"/>
  <c r="J319" i="1"/>
  <c r="I319" i="1"/>
  <c r="J318" i="1"/>
  <c r="I318" i="1"/>
  <c r="G313" i="1"/>
  <c r="J312" i="1"/>
  <c r="I312" i="1"/>
  <c r="J311" i="1"/>
  <c r="I311" i="1"/>
  <c r="J310" i="1"/>
  <c r="I310" i="1"/>
  <c r="J309" i="1"/>
  <c r="I309" i="1"/>
  <c r="J308" i="1"/>
  <c r="I308" i="1"/>
  <c r="J307" i="1"/>
  <c r="I307" i="1"/>
  <c r="J306" i="1"/>
  <c r="I306" i="1"/>
  <c r="J305" i="1"/>
  <c r="I305" i="1"/>
  <c r="J304" i="1"/>
  <c r="I304" i="1"/>
  <c r="J303" i="1"/>
  <c r="I303" i="1"/>
  <c r="J302" i="1"/>
  <c r="I302" i="1"/>
  <c r="J301" i="1"/>
  <c r="I301" i="1"/>
  <c r="J300" i="1"/>
  <c r="I300" i="1"/>
  <c r="J299" i="1"/>
  <c r="I299" i="1"/>
  <c r="G297" i="1"/>
  <c r="H65" i="1" s="1"/>
  <c r="C10" i="2" s="1"/>
  <c r="J296" i="1"/>
  <c r="I296" i="1"/>
  <c r="J295" i="1"/>
  <c r="I295" i="1"/>
  <c r="J294" i="1"/>
  <c r="I294" i="1"/>
  <c r="J293" i="1"/>
  <c r="I293" i="1"/>
  <c r="G288" i="1"/>
  <c r="J287" i="1"/>
  <c r="I287" i="1"/>
  <c r="J286" i="1"/>
  <c r="I286" i="1"/>
  <c r="J285" i="1"/>
  <c r="I285" i="1"/>
  <c r="J284" i="1"/>
  <c r="I284" i="1"/>
  <c r="J283" i="1"/>
  <c r="I283" i="1"/>
  <c r="J282" i="1"/>
  <c r="I282" i="1"/>
  <c r="J281" i="1"/>
  <c r="I281" i="1"/>
  <c r="J280" i="1"/>
  <c r="I280" i="1"/>
  <c r="J279" i="1"/>
  <c r="I279" i="1"/>
  <c r="J278" i="1"/>
  <c r="I278" i="1"/>
  <c r="J277" i="1"/>
  <c r="I277" i="1"/>
  <c r="J276" i="1"/>
  <c r="I276" i="1"/>
  <c r="J275" i="1"/>
  <c r="I275" i="1"/>
  <c r="J274" i="1"/>
  <c r="I274" i="1"/>
  <c r="G272" i="1"/>
  <c r="J271" i="1"/>
  <c r="I271" i="1"/>
  <c r="J270" i="1"/>
  <c r="I270" i="1"/>
  <c r="J269" i="1"/>
  <c r="I269" i="1"/>
  <c r="J268" i="1"/>
  <c r="I268" i="1"/>
  <c r="G263" i="1"/>
  <c r="J263" i="1" s="1"/>
  <c r="J262" i="1"/>
  <c r="I262" i="1"/>
  <c r="J261" i="1"/>
  <c r="I261" i="1"/>
  <c r="J260" i="1"/>
  <c r="I260" i="1"/>
  <c r="J259" i="1"/>
  <c r="I259" i="1"/>
  <c r="J258" i="1"/>
  <c r="I258" i="1"/>
  <c r="J257" i="1"/>
  <c r="I257" i="1"/>
  <c r="J256" i="1"/>
  <c r="I256" i="1"/>
  <c r="J255" i="1"/>
  <c r="I255" i="1"/>
  <c r="J254" i="1"/>
  <c r="I254" i="1"/>
  <c r="J253" i="1"/>
  <c r="I253" i="1"/>
  <c r="J252" i="1"/>
  <c r="I252" i="1"/>
  <c r="J251" i="1"/>
  <c r="I251" i="1"/>
  <c r="J250" i="1"/>
  <c r="I250" i="1"/>
  <c r="J249" i="1"/>
  <c r="I249" i="1"/>
  <c r="G247" i="1"/>
  <c r="I247" i="1" s="1"/>
  <c r="J246" i="1"/>
  <c r="I246" i="1"/>
  <c r="J245" i="1"/>
  <c r="I245" i="1"/>
  <c r="J244" i="1"/>
  <c r="I244" i="1"/>
  <c r="J243" i="1"/>
  <c r="I243" i="1"/>
  <c r="G238" i="1"/>
  <c r="J238" i="1" s="1"/>
  <c r="J237" i="1"/>
  <c r="I237" i="1"/>
  <c r="J236" i="1"/>
  <c r="I236" i="1"/>
  <c r="J235" i="1"/>
  <c r="I235" i="1"/>
  <c r="J234" i="1"/>
  <c r="I234" i="1"/>
  <c r="J233" i="1"/>
  <c r="I233" i="1"/>
  <c r="J232" i="1"/>
  <c r="I232" i="1"/>
  <c r="J231" i="1"/>
  <c r="I231" i="1"/>
  <c r="J230" i="1"/>
  <c r="I230" i="1"/>
  <c r="J229" i="1"/>
  <c r="I229" i="1"/>
  <c r="J228" i="1"/>
  <c r="I228" i="1"/>
  <c r="J227" i="1"/>
  <c r="I227" i="1"/>
  <c r="J226" i="1"/>
  <c r="I226" i="1"/>
  <c r="J225" i="1"/>
  <c r="I225" i="1"/>
  <c r="J224" i="1"/>
  <c r="I224" i="1"/>
  <c r="G222" i="1"/>
  <c r="H62" i="1" s="1"/>
  <c r="C7" i="2" s="1"/>
  <c r="J221" i="1"/>
  <c r="I221" i="1"/>
  <c r="J220" i="1"/>
  <c r="I220" i="1"/>
  <c r="J219" i="1"/>
  <c r="I219" i="1"/>
  <c r="J218" i="1"/>
  <c r="I218" i="1"/>
  <c r="E24" i="1"/>
  <c r="J363" i="1" l="1"/>
  <c r="H86" i="1"/>
  <c r="D12" i="2" s="1"/>
  <c r="J413" i="1"/>
  <c r="H88" i="1"/>
  <c r="D14" i="2" s="1"/>
  <c r="J463" i="1"/>
  <c r="H90" i="1"/>
  <c r="D16" i="2" s="1"/>
  <c r="H63" i="1"/>
  <c r="C8" i="2" s="1"/>
  <c r="I272" i="1"/>
  <c r="H64" i="1"/>
  <c r="C9" i="2" s="1"/>
  <c r="E9" i="2" s="1"/>
  <c r="I322" i="1"/>
  <c r="H66" i="1"/>
  <c r="C11" i="2" s="1"/>
  <c r="G439" i="1"/>
  <c r="H70" i="1"/>
  <c r="C15" i="2" s="1"/>
  <c r="I472" i="1"/>
  <c r="H72" i="1"/>
  <c r="C17" i="2" s="1"/>
  <c r="H82" i="1"/>
  <c r="D8" i="2" s="1"/>
  <c r="J288" i="1"/>
  <c r="H83" i="1"/>
  <c r="D9" i="2" s="1"/>
  <c r="J338" i="1"/>
  <c r="H85" i="1"/>
  <c r="D11" i="2" s="1"/>
  <c r="J388" i="1"/>
  <c r="H87" i="1"/>
  <c r="D13" i="2" s="1"/>
  <c r="E13" i="2" s="1"/>
  <c r="J438" i="1"/>
  <c r="H89" i="1"/>
  <c r="D15" i="2" s="1"/>
  <c r="J488" i="1"/>
  <c r="H91" i="1"/>
  <c r="D17" i="2" s="1"/>
  <c r="H81" i="1"/>
  <c r="D7" i="2" s="1"/>
  <c r="E7" i="2" s="1"/>
  <c r="E10" i="2"/>
  <c r="I347" i="1"/>
  <c r="H67" i="1"/>
  <c r="C12" i="2" s="1"/>
  <c r="E12" i="2" s="1"/>
  <c r="J397" i="1"/>
  <c r="H69" i="1"/>
  <c r="C14" i="2" s="1"/>
  <c r="E14" i="2" s="1"/>
  <c r="I447" i="1"/>
  <c r="H71" i="1"/>
  <c r="C16" i="2" s="1"/>
  <c r="E16" i="2" s="1"/>
  <c r="J538" i="1"/>
  <c r="H93" i="1"/>
  <c r="D19" i="2" s="1"/>
  <c r="E19" i="2" s="1"/>
  <c r="I522" i="1"/>
  <c r="J522" i="1"/>
  <c r="J513" i="1"/>
  <c r="H92" i="1"/>
  <c r="D18" i="2" s="1"/>
  <c r="I497" i="1"/>
  <c r="H73" i="1"/>
  <c r="C18" i="2" s="1"/>
  <c r="E18" i="2" s="1"/>
  <c r="J563" i="1"/>
  <c r="H94" i="1"/>
  <c r="D20" i="2" s="1"/>
  <c r="E20" i="2" s="1"/>
  <c r="I547" i="1"/>
  <c r="G489" i="1"/>
  <c r="J447" i="1"/>
  <c r="J439" i="1"/>
  <c r="H420" i="1"/>
  <c r="H422" i="1"/>
  <c r="H439" i="1"/>
  <c r="I422" i="1"/>
  <c r="I397" i="1"/>
  <c r="G389" i="1"/>
  <c r="H388" i="1" s="1"/>
  <c r="I372" i="1"/>
  <c r="J313" i="1"/>
  <c r="H84" i="1"/>
  <c r="D10" i="2" s="1"/>
  <c r="I297" i="1"/>
  <c r="I222" i="1"/>
  <c r="G564" i="1"/>
  <c r="H564" i="1" s="1"/>
  <c r="J547" i="1"/>
  <c r="I563" i="1"/>
  <c r="I538" i="1"/>
  <c r="G539" i="1"/>
  <c r="H539" i="1" s="1"/>
  <c r="G514" i="1"/>
  <c r="H514" i="1" s="1"/>
  <c r="J497" i="1"/>
  <c r="I513" i="1"/>
  <c r="H469" i="1"/>
  <c r="J472" i="1"/>
  <c r="H475" i="1"/>
  <c r="H479" i="1"/>
  <c r="H483" i="1"/>
  <c r="H487" i="1"/>
  <c r="H488" i="1"/>
  <c r="H480" i="1"/>
  <c r="H468" i="1"/>
  <c r="H474" i="1"/>
  <c r="H478" i="1"/>
  <c r="H482" i="1"/>
  <c r="H486" i="1"/>
  <c r="I488" i="1"/>
  <c r="I489" i="1"/>
  <c r="H484" i="1"/>
  <c r="H471" i="1"/>
  <c r="H477" i="1"/>
  <c r="H481" i="1"/>
  <c r="H485" i="1"/>
  <c r="G464" i="1"/>
  <c r="H464" i="1" s="1"/>
  <c r="I463" i="1"/>
  <c r="H419" i="1"/>
  <c r="J422" i="1"/>
  <c r="H425" i="1"/>
  <c r="H429" i="1"/>
  <c r="H433" i="1"/>
  <c r="H437" i="1"/>
  <c r="H438" i="1"/>
  <c r="H426" i="1"/>
  <c r="H434" i="1"/>
  <c r="H418" i="1"/>
  <c r="H424" i="1"/>
  <c r="H428" i="1"/>
  <c r="H432" i="1"/>
  <c r="H436" i="1"/>
  <c r="I438" i="1"/>
  <c r="I439" i="1"/>
  <c r="H430" i="1"/>
  <c r="H421" i="1"/>
  <c r="H427" i="1"/>
  <c r="H431" i="1"/>
  <c r="H435" i="1"/>
  <c r="G414" i="1"/>
  <c r="H414" i="1" s="1"/>
  <c r="I413" i="1"/>
  <c r="H369" i="1"/>
  <c r="J372" i="1"/>
  <c r="H375" i="1"/>
  <c r="H383" i="1"/>
  <c r="H387" i="1"/>
  <c r="H380" i="1"/>
  <c r="H384" i="1"/>
  <c r="H368" i="1"/>
  <c r="H374" i="1"/>
  <c r="H378" i="1"/>
  <c r="H382" i="1"/>
  <c r="H386" i="1"/>
  <c r="I388" i="1"/>
  <c r="I389" i="1"/>
  <c r="H371" i="1"/>
  <c r="H377" i="1"/>
  <c r="H381" i="1"/>
  <c r="H385" i="1"/>
  <c r="G364" i="1"/>
  <c r="H364" i="1" s="1"/>
  <c r="J347" i="1"/>
  <c r="I363" i="1"/>
  <c r="G339" i="1"/>
  <c r="H339" i="1" s="1"/>
  <c r="J322" i="1"/>
  <c r="I338" i="1"/>
  <c r="G314" i="1"/>
  <c r="H314" i="1" s="1"/>
  <c r="J297" i="1"/>
  <c r="I313" i="1"/>
  <c r="G289" i="1"/>
  <c r="H289" i="1" s="1"/>
  <c r="J272" i="1"/>
  <c r="I288" i="1"/>
  <c r="G264" i="1"/>
  <c r="H264" i="1" s="1"/>
  <c r="J247" i="1"/>
  <c r="I263" i="1"/>
  <c r="G239" i="1"/>
  <c r="J222" i="1"/>
  <c r="I238" i="1"/>
  <c r="G213" i="1"/>
  <c r="J212" i="1"/>
  <c r="I212" i="1"/>
  <c r="J211" i="1"/>
  <c r="I211" i="1"/>
  <c r="J210" i="1"/>
  <c r="I210" i="1"/>
  <c r="J209" i="1"/>
  <c r="I209" i="1"/>
  <c r="J208" i="1"/>
  <c r="I208" i="1"/>
  <c r="J207" i="1"/>
  <c r="I207" i="1"/>
  <c r="J206" i="1"/>
  <c r="I206" i="1"/>
  <c r="J205" i="1"/>
  <c r="I205" i="1"/>
  <c r="J204" i="1"/>
  <c r="I204" i="1"/>
  <c r="J203" i="1"/>
  <c r="I203" i="1"/>
  <c r="J202" i="1"/>
  <c r="I202" i="1"/>
  <c r="J201" i="1"/>
  <c r="I201" i="1"/>
  <c r="J200" i="1"/>
  <c r="I200" i="1"/>
  <c r="J199" i="1"/>
  <c r="I199" i="1"/>
  <c r="G197" i="1"/>
  <c r="H61" i="1" s="1"/>
  <c r="C6" i="2" s="1"/>
  <c r="J196" i="1"/>
  <c r="I196" i="1"/>
  <c r="J195" i="1"/>
  <c r="I195" i="1"/>
  <c r="J194" i="1"/>
  <c r="I194" i="1"/>
  <c r="J193" i="1"/>
  <c r="I193" i="1"/>
  <c r="G188" i="1"/>
  <c r="J188" i="1" s="1"/>
  <c r="J187" i="1"/>
  <c r="I187" i="1"/>
  <c r="J186" i="1"/>
  <c r="I186" i="1"/>
  <c r="J185" i="1"/>
  <c r="I185" i="1"/>
  <c r="J184" i="1"/>
  <c r="I184" i="1"/>
  <c r="J183" i="1"/>
  <c r="I183" i="1"/>
  <c r="J182" i="1"/>
  <c r="I182" i="1"/>
  <c r="J181" i="1"/>
  <c r="I181" i="1"/>
  <c r="J180" i="1"/>
  <c r="I180" i="1"/>
  <c r="J179" i="1"/>
  <c r="I179" i="1"/>
  <c r="J178" i="1"/>
  <c r="I178" i="1"/>
  <c r="J177" i="1"/>
  <c r="I177" i="1"/>
  <c r="J176" i="1"/>
  <c r="I176" i="1"/>
  <c r="J175" i="1"/>
  <c r="I175" i="1"/>
  <c r="J174" i="1"/>
  <c r="I174" i="1"/>
  <c r="G172" i="1"/>
  <c r="H60" i="1" s="1"/>
  <c r="C5" i="2" s="1"/>
  <c r="J171" i="1"/>
  <c r="I171" i="1"/>
  <c r="J170" i="1"/>
  <c r="I170" i="1"/>
  <c r="J169" i="1"/>
  <c r="I169" i="1"/>
  <c r="J168" i="1"/>
  <c r="I168" i="1"/>
  <c r="G163" i="1"/>
  <c r="J163" i="1" s="1"/>
  <c r="J162" i="1"/>
  <c r="I162" i="1"/>
  <c r="J161" i="1"/>
  <c r="I161" i="1"/>
  <c r="J160" i="1"/>
  <c r="I160" i="1"/>
  <c r="J159" i="1"/>
  <c r="I159" i="1"/>
  <c r="J158" i="1"/>
  <c r="I158" i="1"/>
  <c r="J157" i="1"/>
  <c r="I157" i="1"/>
  <c r="J156" i="1"/>
  <c r="I156" i="1"/>
  <c r="J155" i="1"/>
  <c r="I155" i="1"/>
  <c r="J154" i="1"/>
  <c r="I154" i="1"/>
  <c r="J153" i="1"/>
  <c r="I153" i="1"/>
  <c r="J152" i="1"/>
  <c r="I152" i="1"/>
  <c r="J151" i="1"/>
  <c r="I151" i="1"/>
  <c r="J150" i="1"/>
  <c r="I150" i="1"/>
  <c r="J149" i="1"/>
  <c r="I149" i="1"/>
  <c r="G147" i="1"/>
  <c r="J147" i="1" s="1"/>
  <c r="J146" i="1"/>
  <c r="I146" i="1"/>
  <c r="J145" i="1"/>
  <c r="I145" i="1"/>
  <c r="J144" i="1"/>
  <c r="I144" i="1"/>
  <c r="J143" i="1"/>
  <c r="I143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24" i="1"/>
  <c r="I119" i="1"/>
  <c r="I120" i="1"/>
  <c r="I121" i="1"/>
  <c r="I118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24" i="1"/>
  <c r="J119" i="1"/>
  <c r="J120" i="1"/>
  <c r="J121" i="1"/>
  <c r="J118" i="1"/>
  <c r="G122" i="1"/>
  <c r="J122" i="1" s="1"/>
  <c r="G138" i="1"/>
  <c r="J138" i="1" s="1"/>
  <c r="G20" i="2" l="1"/>
  <c r="G19" i="2"/>
  <c r="G7" i="2"/>
  <c r="G13" i="2"/>
  <c r="G14" i="2"/>
  <c r="G10" i="2"/>
  <c r="E15" i="2"/>
  <c r="E8" i="2"/>
  <c r="G18" i="2"/>
  <c r="G9" i="2"/>
  <c r="H413" i="1"/>
  <c r="G16" i="2"/>
  <c r="G12" i="2"/>
  <c r="E17" i="2"/>
  <c r="J213" i="1"/>
  <c r="E11" i="2"/>
  <c r="H513" i="1"/>
  <c r="H563" i="1"/>
  <c r="J489" i="1"/>
  <c r="H489" i="1"/>
  <c r="H470" i="1"/>
  <c r="H476" i="1"/>
  <c r="H472" i="1"/>
  <c r="H463" i="1"/>
  <c r="H397" i="1"/>
  <c r="J389" i="1"/>
  <c r="H389" i="1"/>
  <c r="H376" i="1"/>
  <c r="H370" i="1"/>
  <c r="H379" i="1"/>
  <c r="H372" i="1"/>
  <c r="H363" i="1"/>
  <c r="H338" i="1"/>
  <c r="H313" i="1"/>
  <c r="H288" i="1"/>
  <c r="H263" i="1"/>
  <c r="H79" i="1"/>
  <c r="H78" i="1"/>
  <c r="D4" i="2" s="1"/>
  <c r="H59" i="1"/>
  <c r="C4" i="2" s="1"/>
  <c r="E4" i="2" s="1"/>
  <c r="H77" i="1"/>
  <c r="D3" i="2" s="1"/>
  <c r="H58" i="1"/>
  <c r="C3" i="2" s="1"/>
  <c r="H221" i="1"/>
  <c r="H219" i="1"/>
  <c r="H218" i="1"/>
  <c r="H220" i="1"/>
  <c r="H239" i="1"/>
  <c r="H222" i="1"/>
  <c r="H238" i="1"/>
  <c r="J564" i="1"/>
  <c r="H560" i="1"/>
  <c r="H556" i="1"/>
  <c r="H552" i="1"/>
  <c r="H546" i="1"/>
  <c r="I564" i="1"/>
  <c r="H561" i="1"/>
  <c r="H557" i="1"/>
  <c r="H553" i="1"/>
  <c r="H549" i="1"/>
  <c r="H543" i="1"/>
  <c r="H562" i="1"/>
  <c r="H558" i="1"/>
  <c r="H554" i="1"/>
  <c r="H550" i="1"/>
  <c r="H544" i="1"/>
  <c r="H559" i="1"/>
  <c r="H555" i="1"/>
  <c r="H551" i="1"/>
  <c r="H545" i="1"/>
  <c r="H547" i="1"/>
  <c r="J539" i="1"/>
  <c r="H535" i="1"/>
  <c r="H531" i="1"/>
  <c r="H527" i="1"/>
  <c r="H521" i="1"/>
  <c r="H537" i="1"/>
  <c r="H529" i="1"/>
  <c r="H519" i="1"/>
  <c r="H534" i="1"/>
  <c r="H530" i="1"/>
  <c r="H520" i="1"/>
  <c r="I539" i="1"/>
  <c r="H536" i="1"/>
  <c r="H532" i="1"/>
  <c r="H528" i="1"/>
  <c r="H524" i="1"/>
  <c r="H518" i="1"/>
  <c r="H533" i="1"/>
  <c r="H525" i="1"/>
  <c r="H526" i="1"/>
  <c r="H538" i="1"/>
  <c r="H522" i="1"/>
  <c r="J514" i="1"/>
  <c r="H510" i="1"/>
  <c r="H506" i="1"/>
  <c r="H502" i="1"/>
  <c r="H496" i="1"/>
  <c r="H501" i="1"/>
  <c r="H495" i="1"/>
  <c r="I514" i="1"/>
  <c r="H511" i="1"/>
  <c r="H507" i="1"/>
  <c r="H503" i="1"/>
  <c r="H499" i="1"/>
  <c r="H493" i="1"/>
  <c r="H509" i="1"/>
  <c r="H505" i="1"/>
  <c r="H512" i="1"/>
  <c r="H508" i="1"/>
  <c r="H504" i="1"/>
  <c r="H500" i="1"/>
  <c r="H494" i="1"/>
  <c r="H497" i="1"/>
  <c r="J464" i="1"/>
  <c r="H460" i="1"/>
  <c r="H456" i="1"/>
  <c r="H452" i="1"/>
  <c r="H446" i="1"/>
  <c r="H458" i="1"/>
  <c r="H451" i="1"/>
  <c r="H445" i="1"/>
  <c r="I464" i="1"/>
  <c r="H461" i="1"/>
  <c r="H457" i="1"/>
  <c r="H453" i="1"/>
  <c r="H449" i="1"/>
  <c r="H443" i="1"/>
  <c r="H454" i="1"/>
  <c r="H444" i="1"/>
  <c r="H459" i="1"/>
  <c r="H455" i="1"/>
  <c r="H462" i="1"/>
  <c r="H450" i="1"/>
  <c r="H447" i="1"/>
  <c r="J414" i="1"/>
  <c r="H410" i="1"/>
  <c r="H406" i="1"/>
  <c r="H402" i="1"/>
  <c r="H396" i="1"/>
  <c r="H408" i="1"/>
  <c r="H404" i="1"/>
  <c r="H400" i="1"/>
  <c r="H409" i="1"/>
  <c r="H401" i="1"/>
  <c r="I414" i="1"/>
  <c r="H411" i="1"/>
  <c r="H407" i="1"/>
  <c r="H403" i="1"/>
  <c r="H399" i="1"/>
  <c r="H393" i="1"/>
  <c r="H412" i="1"/>
  <c r="H394" i="1"/>
  <c r="H405" i="1"/>
  <c r="H395" i="1"/>
  <c r="J364" i="1"/>
  <c r="H360" i="1"/>
  <c r="H356" i="1"/>
  <c r="H352" i="1"/>
  <c r="H346" i="1"/>
  <c r="I364" i="1"/>
  <c r="H361" i="1"/>
  <c r="H357" i="1"/>
  <c r="H353" i="1"/>
  <c r="H349" i="1"/>
  <c r="H343" i="1"/>
  <c r="H345" i="1"/>
  <c r="H362" i="1"/>
  <c r="H358" i="1"/>
  <c r="H354" i="1"/>
  <c r="H350" i="1"/>
  <c r="H344" i="1"/>
  <c r="H359" i="1"/>
  <c r="H355" i="1"/>
  <c r="H351" i="1"/>
  <c r="H347" i="1"/>
  <c r="J339" i="1"/>
  <c r="H335" i="1"/>
  <c r="H331" i="1"/>
  <c r="H327" i="1"/>
  <c r="H321" i="1"/>
  <c r="I339" i="1"/>
  <c r="H336" i="1"/>
  <c r="H332" i="1"/>
  <c r="H328" i="1"/>
  <c r="H324" i="1"/>
  <c r="H318" i="1"/>
  <c r="H320" i="1"/>
  <c r="H337" i="1"/>
  <c r="H333" i="1"/>
  <c r="H329" i="1"/>
  <c r="H325" i="1"/>
  <c r="H319" i="1"/>
  <c r="H334" i="1"/>
  <c r="H330" i="1"/>
  <c r="H326" i="1"/>
  <c r="H322" i="1"/>
  <c r="J314" i="1"/>
  <c r="H310" i="1"/>
  <c r="H306" i="1"/>
  <c r="H302" i="1"/>
  <c r="H296" i="1"/>
  <c r="H301" i="1"/>
  <c r="I314" i="1"/>
  <c r="H311" i="1"/>
  <c r="H307" i="1"/>
  <c r="H303" i="1"/>
  <c r="H299" i="1"/>
  <c r="H293" i="1"/>
  <c r="H305" i="1"/>
  <c r="H312" i="1"/>
  <c r="H308" i="1"/>
  <c r="H304" i="1"/>
  <c r="H300" i="1"/>
  <c r="H294" i="1"/>
  <c r="H309" i="1"/>
  <c r="H295" i="1"/>
  <c r="H297" i="1"/>
  <c r="J289" i="1"/>
  <c r="H285" i="1"/>
  <c r="H281" i="1"/>
  <c r="H277" i="1"/>
  <c r="H271" i="1"/>
  <c r="H284" i="1"/>
  <c r="H280" i="1"/>
  <c r="I289" i="1"/>
  <c r="H286" i="1"/>
  <c r="H282" i="1"/>
  <c r="H278" i="1"/>
  <c r="H274" i="1"/>
  <c r="H268" i="1"/>
  <c r="H270" i="1"/>
  <c r="H287" i="1"/>
  <c r="H283" i="1"/>
  <c r="H279" i="1"/>
  <c r="H275" i="1"/>
  <c r="H269" i="1"/>
  <c r="H276" i="1"/>
  <c r="H272" i="1"/>
  <c r="J264" i="1"/>
  <c r="H260" i="1"/>
  <c r="H256" i="1"/>
  <c r="H252" i="1"/>
  <c r="H246" i="1"/>
  <c r="H255" i="1"/>
  <c r="H245" i="1"/>
  <c r="I264" i="1"/>
  <c r="H261" i="1"/>
  <c r="H257" i="1"/>
  <c r="H253" i="1"/>
  <c r="H249" i="1"/>
  <c r="H243" i="1"/>
  <c r="H259" i="1"/>
  <c r="H262" i="1"/>
  <c r="H258" i="1"/>
  <c r="H254" i="1"/>
  <c r="H250" i="1"/>
  <c r="H244" i="1"/>
  <c r="H251" i="1"/>
  <c r="H247" i="1"/>
  <c r="J239" i="1"/>
  <c r="H235" i="1"/>
  <c r="H231" i="1"/>
  <c r="H227" i="1"/>
  <c r="I239" i="1"/>
  <c r="H236" i="1"/>
  <c r="H232" i="1"/>
  <c r="H228" i="1"/>
  <c r="H224" i="1"/>
  <c r="H237" i="1"/>
  <c r="H233" i="1"/>
  <c r="H229" i="1"/>
  <c r="H225" i="1"/>
  <c r="H234" i="1"/>
  <c r="H230" i="1"/>
  <c r="H226" i="1"/>
  <c r="H80" i="1"/>
  <c r="D6" i="2" s="1"/>
  <c r="E6" i="2" s="1"/>
  <c r="I197" i="1"/>
  <c r="I172" i="1"/>
  <c r="I147" i="1"/>
  <c r="G214" i="1"/>
  <c r="J197" i="1"/>
  <c r="I213" i="1"/>
  <c r="G189" i="1"/>
  <c r="J172" i="1"/>
  <c r="I188" i="1"/>
  <c r="G164" i="1"/>
  <c r="I163" i="1"/>
  <c r="I138" i="1"/>
  <c r="I122" i="1"/>
  <c r="G139" i="1"/>
  <c r="F39" i="1"/>
  <c r="F40" i="1"/>
  <c r="F41" i="1"/>
  <c r="F42" i="1"/>
  <c r="F43" i="1"/>
  <c r="F44" i="1"/>
  <c r="F38" i="1"/>
  <c r="F27" i="1"/>
  <c r="F29" i="1"/>
  <c r="F30" i="1"/>
  <c r="F31" i="1"/>
  <c r="F32" i="1"/>
  <c r="F34" i="1"/>
  <c r="F35" i="1"/>
  <c r="F36" i="1"/>
  <c r="F26" i="1"/>
  <c r="F18" i="1"/>
  <c r="F19" i="1"/>
  <c r="F20" i="1"/>
  <c r="F21" i="1"/>
  <c r="F22" i="1"/>
  <c r="F23" i="1"/>
  <c r="F17" i="1"/>
  <c r="F6" i="1"/>
  <c r="F7" i="1"/>
  <c r="F8" i="1"/>
  <c r="F9" i="1"/>
  <c r="F10" i="1"/>
  <c r="F11" i="1"/>
  <c r="F12" i="1"/>
  <c r="F13" i="1"/>
  <c r="L5" i="1"/>
  <c r="L4" i="1"/>
  <c r="L9" i="1"/>
  <c r="G6" i="2" l="1"/>
  <c r="G9" i="1"/>
  <c r="I9" i="1"/>
  <c r="I36" i="1"/>
  <c r="G36" i="1"/>
  <c r="G27" i="1"/>
  <c r="I27" i="1"/>
  <c r="F28" i="1"/>
  <c r="D5" i="2"/>
  <c r="E5" i="2" s="1"/>
  <c r="G17" i="2"/>
  <c r="G8" i="1"/>
  <c r="I8" i="1"/>
  <c r="I19" i="1"/>
  <c r="G19" i="1"/>
  <c r="G31" i="1"/>
  <c r="I31" i="1"/>
  <c r="I11" i="1"/>
  <c r="G11" i="1"/>
  <c r="I7" i="1"/>
  <c r="G7" i="1"/>
  <c r="G22" i="1"/>
  <c r="I22" i="1"/>
  <c r="G18" i="1"/>
  <c r="I18" i="1"/>
  <c r="G34" i="1"/>
  <c r="I34" i="1"/>
  <c r="G30" i="1"/>
  <c r="I30" i="1"/>
  <c r="G44" i="1"/>
  <c r="I44" i="1"/>
  <c r="G40" i="1"/>
  <c r="I40" i="1"/>
  <c r="H212" i="1"/>
  <c r="H208" i="1"/>
  <c r="H204" i="1"/>
  <c r="H200" i="1"/>
  <c r="H211" i="1"/>
  <c r="H207" i="1"/>
  <c r="H203" i="1"/>
  <c r="H199" i="1"/>
  <c r="H210" i="1"/>
  <c r="H206" i="1"/>
  <c r="H202" i="1"/>
  <c r="H209" i="1"/>
  <c r="H205" i="1"/>
  <c r="H201" i="1"/>
  <c r="H214" i="1"/>
  <c r="G4" i="2"/>
  <c r="H213" i="1"/>
  <c r="G13" i="1"/>
  <c r="I13" i="1"/>
  <c r="I20" i="1"/>
  <c r="G20" i="1"/>
  <c r="I32" i="1"/>
  <c r="G32" i="1"/>
  <c r="E3" i="2"/>
  <c r="C21" i="2"/>
  <c r="G15" i="2"/>
  <c r="G12" i="1"/>
  <c r="I12" i="1"/>
  <c r="I23" i="1"/>
  <c r="G23" i="1"/>
  <c r="G35" i="1"/>
  <c r="I35" i="1"/>
  <c r="I41" i="1"/>
  <c r="G41" i="1"/>
  <c r="I10" i="1"/>
  <c r="G10" i="1"/>
  <c r="I6" i="1"/>
  <c r="G6" i="1"/>
  <c r="G21" i="1"/>
  <c r="I21" i="1"/>
  <c r="G26" i="1"/>
  <c r="I26" i="1"/>
  <c r="I33" i="1"/>
  <c r="G33" i="1"/>
  <c r="I29" i="1"/>
  <c r="G29" i="1"/>
  <c r="G43" i="1"/>
  <c r="I43" i="1"/>
  <c r="G39" i="1"/>
  <c r="I39" i="1"/>
  <c r="G8" i="2"/>
  <c r="G17" i="1"/>
  <c r="I17" i="1"/>
  <c r="I42" i="1"/>
  <c r="G42" i="1"/>
  <c r="I38" i="1"/>
  <c r="G38" i="1"/>
  <c r="D21" i="2"/>
  <c r="G11" i="2"/>
  <c r="H175" i="1"/>
  <c r="H179" i="1"/>
  <c r="H183" i="1"/>
  <c r="H187" i="1"/>
  <c r="H169" i="1"/>
  <c r="H168" i="1"/>
  <c r="H174" i="1"/>
  <c r="H176" i="1"/>
  <c r="H180" i="1"/>
  <c r="H184" i="1"/>
  <c r="H188" i="1"/>
  <c r="H170" i="1"/>
  <c r="H177" i="1"/>
  <c r="H181" i="1"/>
  <c r="H185" i="1"/>
  <c r="H189" i="1"/>
  <c r="H171" i="1"/>
  <c r="H178" i="1"/>
  <c r="H182" i="1"/>
  <c r="H186" i="1"/>
  <c r="H172" i="1"/>
  <c r="H97" i="1"/>
  <c r="H151" i="1"/>
  <c r="H155" i="1"/>
  <c r="H159" i="1"/>
  <c r="H163" i="1"/>
  <c r="H145" i="1"/>
  <c r="H149" i="1"/>
  <c r="H150" i="1"/>
  <c r="H154" i="1"/>
  <c r="H158" i="1"/>
  <c r="H162" i="1"/>
  <c r="H143" i="1"/>
  <c r="H152" i="1"/>
  <c r="H156" i="1"/>
  <c r="H160" i="1"/>
  <c r="H164" i="1"/>
  <c r="H146" i="1"/>
  <c r="H153" i="1"/>
  <c r="H157" i="1"/>
  <c r="H161" i="1"/>
  <c r="H144" i="1"/>
  <c r="H147" i="1"/>
  <c r="F45" i="1"/>
  <c r="H194" i="1"/>
  <c r="H193" i="1"/>
  <c r="H195" i="1"/>
  <c r="H196" i="1"/>
  <c r="H197" i="1"/>
  <c r="H122" i="1"/>
  <c r="H121" i="1"/>
  <c r="H126" i="1"/>
  <c r="H118" i="1"/>
  <c r="H119" i="1"/>
  <c r="H124" i="1"/>
  <c r="H120" i="1"/>
  <c r="H125" i="1"/>
  <c r="J214" i="1"/>
  <c r="I214" i="1"/>
  <c r="J189" i="1"/>
  <c r="I189" i="1"/>
  <c r="J164" i="1"/>
  <c r="I164" i="1"/>
  <c r="I139" i="1"/>
  <c r="H139" i="1"/>
  <c r="J139" i="1"/>
  <c r="H129" i="1"/>
  <c r="H133" i="1"/>
  <c r="H137" i="1"/>
  <c r="H127" i="1"/>
  <c r="H131" i="1"/>
  <c r="H135" i="1"/>
  <c r="H128" i="1"/>
  <c r="H132" i="1"/>
  <c r="H130" i="1"/>
  <c r="H134" i="1"/>
  <c r="H138" i="1"/>
  <c r="H136" i="1"/>
  <c r="F5" i="1"/>
  <c r="L10" i="1"/>
  <c r="L11" i="1" s="1"/>
  <c r="L12" i="1" s="1"/>
  <c r="B21" i="1" s="1"/>
  <c r="G5" i="1" l="1"/>
  <c r="I5" i="1"/>
  <c r="G3" i="2"/>
  <c r="E21" i="2"/>
  <c r="I28" i="1"/>
  <c r="G28" i="1"/>
  <c r="I45" i="1"/>
  <c r="G5" i="2"/>
  <c r="F5" i="2"/>
  <c r="H55" i="1"/>
  <c r="H56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D44" i="1"/>
  <c r="G94" i="1" s="1"/>
  <c r="D43" i="1"/>
  <c r="G93" i="1" s="1"/>
  <c r="D42" i="1"/>
  <c r="G92" i="1" s="1"/>
  <c r="D41" i="1"/>
  <c r="G91" i="1" s="1"/>
  <c r="D40" i="1"/>
  <c r="G90" i="1" s="1"/>
  <c r="D39" i="1"/>
  <c r="G89" i="1" s="1"/>
  <c r="D38" i="1"/>
  <c r="G88" i="1" s="1"/>
  <c r="D36" i="1"/>
  <c r="G87" i="1" s="1"/>
  <c r="D35" i="1"/>
  <c r="G86" i="1" s="1"/>
  <c r="D34" i="1"/>
  <c r="G85" i="1" s="1"/>
  <c r="D33" i="1"/>
  <c r="G84" i="1" s="1"/>
  <c r="D32" i="1"/>
  <c r="G83" i="1" s="1"/>
  <c r="D31" i="1"/>
  <c r="G82" i="1" s="1"/>
  <c r="D30" i="1"/>
  <c r="G81" i="1" s="1"/>
  <c r="D29" i="1"/>
  <c r="G80" i="1" s="1"/>
  <c r="D28" i="1"/>
  <c r="G79" i="1" s="1"/>
  <c r="D27" i="1"/>
  <c r="G78" i="1" s="1"/>
  <c r="D26" i="1"/>
  <c r="G77" i="1" s="1"/>
  <c r="G73" i="1"/>
  <c r="G72" i="1"/>
  <c r="G71" i="1"/>
  <c r="G70" i="1"/>
  <c r="G69" i="1"/>
  <c r="G68" i="1"/>
  <c r="G67" i="1"/>
  <c r="G66" i="1"/>
  <c r="G65" i="1"/>
  <c r="G64" i="1"/>
  <c r="G62" i="1"/>
  <c r="G61" i="1"/>
  <c r="G63" i="1"/>
  <c r="G75" i="1"/>
  <c r="G74" i="1"/>
  <c r="G59" i="1"/>
  <c r="G58" i="1"/>
  <c r="B19" i="2" l="1"/>
  <c r="C515" i="1"/>
  <c r="B7" i="2"/>
  <c r="C215" i="1"/>
  <c r="B12" i="2"/>
  <c r="C340" i="1"/>
  <c r="B16" i="2"/>
  <c r="C440" i="1"/>
  <c r="G21" i="2"/>
  <c r="B20" i="2"/>
  <c r="C540" i="1"/>
  <c r="B9" i="2"/>
  <c r="C265" i="1"/>
  <c r="B13" i="2"/>
  <c r="C365" i="1"/>
  <c r="B17" i="2"/>
  <c r="C465" i="1"/>
  <c r="B8" i="2"/>
  <c r="C240" i="1"/>
  <c r="B10" i="2"/>
  <c r="C290" i="1"/>
  <c r="B14" i="2"/>
  <c r="C390" i="1"/>
  <c r="B18" i="2"/>
  <c r="C490" i="1"/>
  <c r="C115" i="1"/>
  <c r="B3" i="2"/>
  <c r="C140" i="1"/>
  <c r="B4" i="2"/>
  <c r="B6" i="2"/>
  <c r="C190" i="1"/>
  <c r="B11" i="2"/>
  <c r="C315" i="1"/>
  <c r="B15" i="2"/>
  <c r="C415" i="1"/>
  <c r="F3" i="2"/>
  <c r="F10" i="2"/>
  <c r="F18" i="2"/>
  <c r="F12" i="2"/>
  <c r="F14" i="2"/>
  <c r="F9" i="2"/>
  <c r="F16" i="2"/>
  <c r="F20" i="2"/>
  <c r="F19" i="2"/>
  <c r="F13" i="2"/>
  <c r="F7" i="2"/>
  <c r="F4" i="2"/>
  <c r="F8" i="2"/>
  <c r="F11" i="2"/>
  <c r="F6" i="2"/>
  <c r="F17" i="2"/>
  <c r="F15" i="2"/>
  <c r="J62" i="1"/>
  <c r="J63" i="1"/>
  <c r="J61" i="1"/>
  <c r="J64" i="1"/>
  <c r="J65" i="1"/>
  <c r="J66" i="1"/>
  <c r="G60" i="1"/>
  <c r="J97" i="1"/>
  <c r="H54" i="1"/>
  <c r="H51" i="1"/>
  <c r="H50" i="1"/>
  <c r="H52" i="1"/>
  <c r="H53" i="1"/>
  <c r="H49" i="1"/>
  <c r="J87" i="1"/>
  <c r="I87" i="1"/>
  <c r="J86" i="1"/>
  <c r="I86" i="1"/>
  <c r="J85" i="1"/>
  <c r="I85" i="1"/>
  <c r="J84" i="1"/>
  <c r="I84" i="1"/>
  <c r="J83" i="1"/>
  <c r="I83" i="1"/>
  <c r="J82" i="1"/>
  <c r="I82" i="1"/>
  <c r="J81" i="1"/>
  <c r="I81" i="1"/>
  <c r="J80" i="1"/>
  <c r="I80" i="1"/>
  <c r="J79" i="1"/>
  <c r="I79" i="1"/>
  <c r="J78" i="1"/>
  <c r="I78" i="1"/>
  <c r="J77" i="1"/>
  <c r="I77" i="1"/>
  <c r="I97" i="1" s="1"/>
  <c r="I98" i="1" s="1"/>
  <c r="J75" i="1"/>
  <c r="J74" i="1"/>
  <c r="J73" i="1"/>
  <c r="J72" i="1"/>
  <c r="J71" i="1"/>
  <c r="J70" i="1"/>
  <c r="J69" i="1"/>
  <c r="F15" i="1"/>
  <c r="J60" i="1"/>
  <c r="E45" i="1"/>
  <c r="G45" i="1" s="1"/>
  <c r="B28" i="1"/>
  <c r="B16" i="1"/>
  <c r="B24" i="1" s="1"/>
  <c r="B13" i="1"/>
  <c r="B11" i="1" s="1"/>
  <c r="I15" i="1" l="1"/>
  <c r="G15" i="1"/>
  <c r="C165" i="1"/>
  <c r="B5" i="2"/>
  <c r="C3" i="5"/>
  <c r="D3" i="5"/>
  <c r="H95" i="1"/>
  <c r="H96" i="1"/>
  <c r="F14" i="1"/>
  <c r="J67" i="1"/>
  <c r="J96" i="1" s="1"/>
  <c r="J98" i="1" s="1"/>
  <c r="J68" i="1"/>
  <c r="E46" i="1"/>
  <c r="E24" i="5" l="1"/>
  <c r="E9" i="5" s="1"/>
  <c r="E21" i="5"/>
  <c r="C21" i="5" s="1"/>
  <c r="D21" i="5" s="1"/>
  <c r="E17" i="5"/>
  <c r="E13" i="5"/>
  <c r="C13" i="5" s="1"/>
  <c r="D13" i="5" s="1"/>
  <c r="E20" i="5"/>
  <c r="C20" i="5" s="1"/>
  <c r="D20" i="5" s="1"/>
  <c r="E16" i="5"/>
  <c r="C16" i="5" s="1"/>
  <c r="D16" i="5" s="1"/>
  <c r="E12" i="5"/>
  <c r="C12" i="5" s="1"/>
  <c r="D12" i="5" s="1"/>
  <c r="E22" i="5"/>
  <c r="E18" i="5"/>
  <c r="C18" i="5" s="1"/>
  <c r="D18" i="5" s="1"/>
  <c r="E14" i="5"/>
  <c r="C14" i="5" s="1"/>
  <c r="D14" i="5" s="1"/>
  <c r="E23" i="5"/>
  <c r="C23" i="5" s="1"/>
  <c r="D23" i="5" s="1"/>
  <c r="E19" i="5"/>
  <c r="C19" i="5" s="1"/>
  <c r="D19" i="5" s="1"/>
  <c r="E15" i="5"/>
  <c r="C15" i="5" s="1"/>
  <c r="D15" i="5" s="1"/>
  <c r="E11" i="5"/>
  <c r="C11" i="5" s="1"/>
  <c r="D11" i="5" s="1"/>
  <c r="F24" i="1"/>
  <c r="I14" i="1"/>
  <c r="G14" i="1"/>
  <c r="B25" i="1"/>
  <c r="B29" i="1" s="1"/>
  <c r="H98" i="1"/>
  <c r="E10" i="5" l="1"/>
  <c r="C10" i="5" s="1"/>
  <c r="D10" i="5" s="1"/>
  <c r="E6" i="5"/>
  <c r="C6" i="5" s="1"/>
  <c r="E8" i="5"/>
  <c r="C8" i="5" s="1"/>
  <c r="D8" i="5" s="1"/>
  <c r="E7" i="5"/>
  <c r="C7" i="5" s="1"/>
  <c r="F46" i="1"/>
  <c r="H24" i="1"/>
  <c r="I24" i="1"/>
  <c r="G24" i="1"/>
  <c r="C22" i="5"/>
  <c r="D22" i="5" s="1"/>
  <c r="C17" i="5"/>
  <c r="D17" i="5" s="1"/>
  <c r="B26" i="1"/>
  <c r="B30" i="1" s="1"/>
  <c r="B31" i="1" s="1"/>
  <c r="G3" i="5" a="1"/>
  <c r="G3" i="5" s="1"/>
  <c r="C9" i="5"/>
  <c r="D9" i="5" s="1"/>
  <c r="D6" i="5" l="1"/>
  <c r="D7" i="5"/>
  <c r="C24" i="5"/>
  <c r="D24" i="5"/>
  <c r="I46" i="1"/>
  <c r="H9" i="1"/>
  <c r="H11" i="1"/>
  <c r="H22" i="1"/>
  <c r="H30" i="1"/>
  <c r="H44" i="1"/>
  <c r="H13" i="1"/>
  <c r="H12" i="1"/>
  <c r="H23" i="1"/>
  <c r="H10" i="1"/>
  <c r="H6" i="1"/>
  <c r="H26" i="1"/>
  <c r="H39" i="1"/>
  <c r="H42" i="1"/>
  <c r="H34" i="1"/>
  <c r="H20" i="1"/>
  <c r="H17" i="1"/>
  <c r="H36" i="1"/>
  <c r="H27" i="1"/>
  <c r="H32" i="1"/>
  <c r="H41" i="1"/>
  <c r="H21" i="1"/>
  <c r="H29" i="1"/>
  <c r="H43" i="1"/>
  <c r="H8" i="1"/>
  <c r="H19" i="1"/>
  <c r="H31" i="1"/>
  <c r="H7" i="1"/>
  <c r="H18" i="1"/>
  <c r="H40" i="1"/>
  <c r="H35" i="1"/>
  <c r="H33" i="1"/>
  <c r="H38" i="1"/>
  <c r="H5" i="1"/>
  <c r="H45" i="1"/>
  <c r="H28" i="1"/>
  <c r="H15" i="1"/>
  <c r="H14" i="1"/>
  <c r="G4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BC9D7A-AD3D-414E-AA75-B2791BDF2E0E}" keepAlive="1" name="Query - Canada (CA) - State/Province Table" description="Connection to the 'Canada (CA) - State/Province Table' query in the workbook." type="5" refreshedVersion="6" background="1" saveData="1">
    <dbPr connection="Provider=Microsoft.Mashup.OleDb.1;Data Source=$Workbook$;Location=&quot;Canada (CA) - State/Province Table&quot;;Extended Properties=&quot;&quot;" command="SELECT * FROM [Canada (CA) - State/Province Table]"/>
  </connection>
  <connection id="2" xr16:uid="{CE9F2A18-48B0-45FB-BF27-3F6B3935ABB2}" keepAlive="1" name="Query - Contents: Cities, Towns &amp; District Municipalities" description="Connection to the 'Contents: Cities, Towns &amp; District Municipalities' query in the workbook." type="5" refreshedVersion="6" background="1" saveData="1">
    <dbPr connection="Provider=Microsoft.Mashup.OleDb.1;Data Source=$Workbook$;Location=&quot;Contents: Cities, Towns &amp; District Municipalities&quot;;Extended Properties=&quot;&quot;" command="SELECT * FROM [Contents: Cities, Towns &amp; District Municipaliti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<sst xmlns="http://schemas.openxmlformats.org/spreadsheetml/2006/main" count="1065" uniqueCount="373">
  <si>
    <t>Memo</t>
  </si>
  <si>
    <t>Date</t>
  </si>
  <si>
    <t>In</t>
  </si>
  <si>
    <t>PST</t>
  </si>
  <si>
    <t>GST</t>
  </si>
  <si>
    <t>Discription</t>
  </si>
  <si>
    <t>Out</t>
  </si>
  <si>
    <t>Total</t>
  </si>
  <si>
    <t>Target Selling price</t>
  </si>
  <si>
    <t>Renovation period</t>
  </si>
  <si>
    <t>House price</t>
  </si>
  <si>
    <t>Appraisal</t>
  </si>
  <si>
    <t>Home inspection</t>
  </si>
  <si>
    <t>Lender's fee</t>
  </si>
  <si>
    <t>Land transfer tax</t>
  </si>
  <si>
    <t>Legal fee</t>
  </si>
  <si>
    <t>Other (Adjustments)</t>
  </si>
  <si>
    <t>Closing Cost</t>
  </si>
  <si>
    <t>Purchase Price</t>
  </si>
  <si>
    <t>Carrying Cost/Monthly</t>
  </si>
  <si>
    <t>Utility</t>
  </si>
  <si>
    <t>Insurance</t>
  </si>
  <si>
    <t>Strata fee</t>
  </si>
  <si>
    <t>Bank fee</t>
  </si>
  <si>
    <t>Mortgage payment</t>
  </si>
  <si>
    <t>Interest on renovation cost</t>
  </si>
  <si>
    <t>Other (Rental Cost)</t>
  </si>
  <si>
    <t>Anticipated Carrying cost</t>
  </si>
  <si>
    <t>Total Cost of Profit</t>
  </si>
  <si>
    <t>Project</t>
  </si>
  <si>
    <t>Downpayment</t>
  </si>
  <si>
    <t>Total investment capital</t>
  </si>
  <si>
    <t>Return on Investment</t>
  </si>
  <si>
    <t>Project type</t>
  </si>
  <si>
    <t>Renovation Cost Allocation</t>
  </si>
  <si>
    <t>Actural cost</t>
  </si>
  <si>
    <t>Framing</t>
  </si>
  <si>
    <t>Interior work (Labour)</t>
  </si>
  <si>
    <t>Painting</t>
  </si>
  <si>
    <t>Kitchen cabinet</t>
  </si>
  <si>
    <t>Plumbing</t>
  </si>
  <si>
    <t>Exterior work (Labour)</t>
  </si>
  <si>
    <t>Landscaping</t>
  </si>
  <si>
    <t>Siding</t>
  </si>
  <si>
    <t>Deck</t>
  </si>
  <si>
    <t>Fence</t>
  </si>
  <si>
    <t>Driveway</t>
  </si>
  <si>
    <t>Roofing</t>
  </si>
  <si>
    <t>Interior work (Material)</t>
  </si>
  <si>
    <t>Exterior work (Material)</t>
  </si>
  <si>
    <t>Total Labour</t>
  </si>
  <si>
    <t>Total Materials</t>
  </si>
  <si>
    <t>Total Renovation Cost</t>
  </si>
  <si>
    <t>Bookkeping</t>
  </si>
  <si>
    <t>Finish Carpentry</t>
  </si>
  <si>
    <t>Interest rate</t>
  </si>
  <si>
    <t>Interest</t>
  </si>
  <si>
    <t>Length of borrowing</t>
  </si>
  <si>
    <t>Line of credit (Material and labour cost)</t>
  </si>
  <si>
    <t>Credit card (Materials)</t>
  </si>
  <si>
    <t>Loan (Renovation labour cost)</t>
  </si>
  <si>
    <t>Interest payment</t>
  </si>
  <si>
    <t>Labour Expenses</t>
  </si>
  <si>
    <t>Material Expenses</t>
  </si>
  <si>
    <t>Mortgage Calculator</t>
  </si>
  <si>
    <t>Downpayment %</t>
  </si>
  <si>
    <t>Amortization Periods</t>
  </si>
  <si>
    <t>Payment per year</t>
  </si>
  <si>
    <t>Interest Rate</t>
  </si>
  <si>
    <t>Number of Payments</t>
  </si>
  <si>
    <t>Mortgage amount</t>
  </si>
  <si>
    <t>Monthly Payment</t>
  </si>
  <si>
    <t>Back to top</t>
  </si>
  <si>
    <t>Price</t>
  </si>
  <si>
    <t>Labour cost</t>
  </si>
  <si>
    <t>Material Cost</t>
  </si>
  <si>
    <t>Total Labour expenses</t>
  </si>
  <si>
    <t>Total Material expenses</t>
  </si>
  <si>
    <t>Total Expenses</t>
  </si>
  <si>
    <t>Bookkeeping top</t>
  </si>
  <si>
    <t>HVAC</t>
  </si>
  <si>
    <t>Total Material Cost</t>
  </si>
  <si>
    <t>Total Labour Cost</t>
  </si>
  <si>
    <t>Ratio</t>
  </si>
  <si>
    <t>Demolition</t>
  </si>
  <si>
    <t>Drywall, tape&amp;mudding</t>
  </si>
  <si>
    <t>Bathroom</t>
  </si>
  <si>
    <t>Floorinng, tiling</t>
  </si>
  <si>
    <t>Electriccal</t>
  </si>
  <si>
    <t>Material cost</t>
  </si>
  <si>
    <t>Total cost/job</t>
  </si>
  <si>
    <t>Budget remeinder</t>
  </si>
  <si>
    <t>Cost Ratio</t>
  </si>
  <si>
    <t>Unit cost</t>
  </si>
  <si>
    <t>Province</t>
  </si>
  <si>
    <t>City</t>
  </si>
  <si>
    <t>Code</t>
  </si>
  <si>
    <t>State/Province</t>
  </si>
  <si>
    <t>AB</t>
  </si>
  <si>
    <t>Alberta</t>
  </si>
  <si>
    <t>BC</t>
  </si>
  <si>
    <t>British Columbia</t>
  </si>
  <si>
    <t>MB</t>
  </si>
  <si>
    <t>Manitoba</t>
  </si>
  <si>
    <t>NB</t>
  </si>
  <si>
    <t>New Brunswick</t>
  </si>
  <si>
    <t>NF</t>
  </si>
  <si>
    <t>Newfoundland</t>
  </si>
  <si>
    <t>NT</t>
  </si>
  <si>
    <t>Northwest Territories</t>
  </si>
  <si>
    <t>NS</t>
  </si>
  <si>
    <t>Nova Scotia</t>
  </si>
  <si>
    <t>NU</t>
  </si>
  <si>
    <t>Nunavut</t>
  </si>
  <si>
    <t>ON</t>
  </si>
  <si>
    <t>Ontario</t>
  </si>
  <si>
    <t>PE</t>
  </si>
  <si>
    <t>Prince Edward Island</t>
  </si>
  <si>
    <t>PQ</t>
  </si>
  <si>
    <t>Quebec</t>
  </si>
  <si>
    <t>SK</t>
  </si>
  <si>
    <t>Saskatchewan</t>
  </si>
  <si>
    <t>YT</t>
  </si>
  <si>
    <t>Yukon</t>
  </si>
  <si>
    <t>Name</t>
  </si>
  <si>
    <t>Status</t>
  </si>
  <si>
    <t>Population Census (C) 1981-06-03</t>
  </si>
  <si>
    <t>Population Census (C) 1991-06-04</t>
  </si>
  <si>
    <t>Population Census (C) 2001-05-15</t>
  </si>
  <si>
    <t>Population Estimate (E) 2007-07-01</t>
  </si>
  <si>
    <t>Population Estimate (E) 2012-07-01</t>
  </si>
  <si>
    <t>Population Estimate (E) 2017-07-01</t>
  </si>
  <si>
    <t>Population Estimate (E) 2019-07-01</t>
  </si>
  <si>
    <t>Area</t>
  </si>
  <si>
    <t>2</t>
  </si>
  <si>
    <t>Abbotsford (Matsqui)</t>
  </si>
  <si>
    <t>...</t>
  </si>
  <si>
    <t>86,930</t>
  </si>
  <si>
    <t>115,494</t>
  </si>
  <si>
    <t>→</t>
  </si>
  <si>
    <t>Burnaby</t>
  </si>
  <si>
    <t>136,494</t>
  </si>
  <si>
    <t>158,860</t>
  </si>
  <si>
    <t>193,954</t>
  </si>
  <si>
    <t>Campbell River</t>
  </si>
  <si>
    <t>25,260</t>
  </si>
  <si>
    <t>28,276</t>
  </si>
  <si>
    <t>Central Saanich</t>
  </si>
  <si>
    <t>Com</t>
  </si>
  <si>
    <t>9,890</t>
  </si>
  <si>
    <t>13,685</t>
  </si>
  <si>
    <t>15,348</t>
  </si>
  <si>
    <t>Chilliwack</t>
  </si>
  <si>
    <t>40,642</t>
  </si>
  <si>
    <t>49,530</t>
  </si>
  <si>
    <t>62,567</t>
  </si>
  <si>
    <t>Coldstream</t>
  </si>
  <si>
    <t>6,450</t>
  </si>
  <si>
    <t>7,995</t>
  </si>
  <si>
    <t>9,106</t>
  </si>
  <si>
    <t>Colwood</t>
  </si>
  <si>
    <t>13,465</t>
  </si>
  <si>
    <t>13,745</t>
  </si>
  <si>
    <t>Comox</t>
  </si>
  <si>
    <t>Town</t>
  </si>
  <si>
    <t>6,607</t>
  </si>
  <si>
    <t>9,475</t>
  </si>
  <si>
    <t>11,391</t>
  </si>
  <si>
    <t>Coquitlam</t>
  </si>
  <si>
    <t>61,077</t>
  </si>
  <si>
    <t>84,020</t>
  </si>
  <si>
    <t>112,890</t>
  </si>
  <si>
    <t>Courtenay</t>
  </si>
  <si>
    <t>19,166</t>
  </si>
  <si>
    <t>Cranbrook</t>
  </si>
  <si>
    <t>15,915</t>
  </si>
  <si>
    <t>16,445</t>
  </si>
  <si>
    <t>18,517</t>
  </si>
  <si>
    <t>Dawson Creek</t>
  </si>
  <si>
    <t>11,373</t>
  </si>
  <si>
    <t>10,980</t>
  </si>
  <si>
    <t>10,754</t>
  </si>
  <si>
    <t>Delta</t>
  </si>
  <si>
    <t>74,692</t>
  </si>
  <si>
    <t>88,980</t>
  </si>
  <si>
    <t>96,950</t>
  </si>
  <si>
    <t>Esquimalt</t>
  </si>
  <si>
    <t>15,870</t>
  </si>
  <si>
    <t>16,195</t>
  </si>
  <si>
    <t>16,127</t>
  </si>
  <si>
    <t>Fort St. John</t>
  </si>
  <si>
    <t>13,891</t>
  </si>
  <si>
    <t>14,155</t>
  </si>
  <si>
    <t>16,051</t>
  </si>
  <si>
    <t>Kamloops</t>
  </si>
  <si>
    <t>64,048</t>
  </si>
  <si>
    <t>67,055</t>
  </si>
  <si>
    <t>77,281</t>
  </si>
  <si>
    <t>Kelowna</t>
  </si>
  <si>
    <t>59,196</t>
  </si>
  <si>
    <t>75,950</t>
  </si>
  <si>
    <t>96,288</t>
  </si>
  <si>
    <t>Lake Country</t>
  </si>
  <si>
    <t>7,620</t>
  </si>
  <si>
    <t>9,267</t>
  </si>
  <si>
    <t>Langford</t>
  </si>
  <si>
    <t>15,640</t>
  </si>
  <si>
    <t>18,840</t>
  </si>
  <si>
    <t>Langley (incl. Langley District Municipality)</t>
  </si>
  <si>
    <t>85,805</t>
  </si>
  <si>
    <t>110,539</t>
  </si>
  <si>
    <t>Maple Ridge</t>
  </si>
  <si>
    <t>32,232</t>
  </si>
  <si>
    <t>48,420</t>
  </si>
  <si>
    <t>63,169</t>
  </si>
  <si>
    <t>Mission</t>
  </si>
  <si>
    <t>20,056</t>
  </si>
  <si>
    <t>26,200</t>
  </si>
  <si>
    <t>31,272</t>
  </si>
  <si>
    <t>Nanaimo</t>
  </si>
  <si>
    <t>47,069</t>
  </si>
  <si>
    <t>60,130</t>
  </si>
  <si>
    <t>73,000</t>
  </si>
  <si>
    <t>Nelson</t>
  </si>
  <si>
    <t>9,143</t>
  </si>
  <si>
    <t>8,760</t>
  </si>
  <si>
    <t>9,318</t>
  </si>
  <si>
    <t>New Westminster</t>
  </si>
  <si>
    <t>38,550</t>
  </si>
  <si>
    <t>43,585</t>
  </si>
  <si>
    <t>54,656</t>
  </si>
  <si>
    <t>North Cowichan</t>
  </si>
  <si>
    <t>18,210</t>
  </si>
  <si>
    <t>21,375</t>
  </si>
  <si>
    <t>26,138</t>
  </si>
  <si>
    <t>North Saanich</t>
  </si>
  <si>
    <t>6,117</t>
  </si>
  <si>
    <t>9,645</t>
  </si>
  <si>
    <t>10,436</t>
  </si>
  <si>
    <t>North Vancouver (incl. North Vancouver District Municipality)</t>
  </si>
  <si>
    <t>113,595</t>
  </si>
  <si>
    <t>126,402</t>
  </si>
  <si>
    <t>Oak Bay</t>
  </si>
  <si>
    <t>16,990</t>
  </si>
  <si>
    <t>17,815</t>
  </si>
  <si>
    <t>17,798</t>
  </si>
  <si>
    <t>Parksville</t>
  </si>
  <si>
    <t>5,216</t>
  </si>
  <si>
    <t>7,305</t>
  </si>
  <si>
    <t>10,323</t>
  </si>
  <si>
    <t>Penticton</t>
  </si>
  <si>
    <t>23,181</t>
  </si>
  <si>
    <t>27,255</t>
  </si>
  <si>
    <t>30,985</t>
  </si>
  <si>
    <t>Pitt Meadows</t>
  </si>
  <si>
    <t>6,209</t>
  </si>
  <si>
    <t>11,235</t>
  </si>
  <si>
    <t>14,670</t>
  </si>
  <si>
    <t>Port Alberni</t>
  </si>
  <si>
    <t>19,892</t>
  </si>
  <si>
    <t>18,400</t>
  </si>
  <si>
    <t>17,748</t>
  </si>
  <si>
    <t>Port Coquitlam</t>
  </si>
  <si>
    <t>27,535</t>
  </si>
  <si>
    <t>36,770</t>
  </si>
  <si>
    <t>51,257</t>
  </si>
  <si>
    <t>Port Moody</t>
  </si>
  <si>
    <t>14,917</t>
  </si>
  <si>
    <t>17,710</t>
  </si>
  <si>
    <t>23,816</t>
  </si>
  <si>
    <t>Powell River</t>
  </si>
  <si>
    <t>13,423</t>
  </si>
  <si>
    <t>12,995</t>
  </si>
  <si>
    <t>12,983</t>
  </si>
  <si>
    <t>Prince George</t>
  </si>
  <si>
    <t>67,559</t>
  </si>
  <si>
    <t>69,650</t>
  </si>
  <si>
    <t>72,406</t>
  </si>
  <si>
    <t>Prince Rupert</t>
  </si>
  <si>
    <t>16,197</t>
  </si>
  <si>
    <t>16,620</t>
  </si>
  <si>
    <t>14,643</t>
  </si>
  <si>
    <t>Quesnel</t>
  </si>
  <si>
    <t>8,240</t>
  </si>
  <si>
    <t>8,180</t>
  </si>
  <si>
    <t>10,044</t>
  </si>
  <si>
    <t>Richmond</t>
  </si>
  <si>
    <t>96,154</t>
  </si>
  <si>
    <t>126,625</t>
  </si>
  <si>
    <t>164,345</t>
  </si>
  <si>
    <t>Saanich</t>
  </si>
  <si>
    <t>78,710</t>
  </si>
  <si>
    <t>95,575</t>
  </si>
  <si>
    <t>103,654</t>
  </si>
  <si>
    <t>Salmon Arm</t>
  </si>
  <si>
    <t>10,780</t>
  </si>
  <si>
    <t>12,115</t>
  </si>
  <si>
    <t>15,210</t>
  </si>
  <si>
    <t>Sechelt</t>
  </si>
  <si>
    <t>6,125</t>
  </si>
  <si>
    <t>7,775</t>
  </si>
  <si>
    <t>Sidney</t>
  </si>
  <si>
    <t>7,946</t>
  </si>
  <si>
    <t>10,085</t>
  </si>
  <si>
    <t>10,929</t>
  </si>
  <si>
    <t>Sooke</t>
  </si>
  <si>
    <t>8,735</t>
  </si>
  <si>
    <t>Squamish</t>
  </si>
  <si>
    <t>11,710</t>
  </si>
  <si>
    <t>14,247</t>
  </si>
  <si>
    <t>Summerland</t>
  </si>
  <si>
    <t>7,473</t>
  </si>
  <si>
    <t>9,255</t>
  </si>
  <si>
    <t>10,723</t>
  </si>
  <si>
    <t>Surrey</t>
  </si>
  <si>
    <t>147,135</t>
  </si>
  <si>
    <t>245,175</t>
  </si>
  <si>
    <t>347,820</t>
  </si>
  <si>
    <t>Terrace</t>
  </si>
  <si>
    <t>8,893</t>
  </si>
  <si>
    <t>11,430</t>
  </si>
  <si>
    <t>12,109</t>
  </si>
  <si>
    <t>Vancouver</t>
  </si>
  <si>
    <t>414,281</t>
  </si>
  <si>
    <t>471,845</t>
  </si>
  <si>
    <t>545,671</t>
  </si>
  <si>
    <t>Vernon</t>
  </si>
  <si>
    <t>19,987</t>
  </si>
  <si>
    <t>23,515</t>
  </si>
  <si>
    <t>33,542</t>
  </si>
  <si>
    <t>Victoria</t>
  </si>
  <si>
    <t>64,379</t>
  </si>
  <si>
    <t>71,225</t>
  </si>
  <si>
    <t>74,125</t>
  </si>
  <si>
    <t>View Royal</t>
  </si>
  <si>
    <t>5,925</t>
  </si>
  <si>
    <t>7,271</t>
  </si>
  <si>
    <t>West Kelowna</t>
  </si>
  <si>
    <t>West Vancouver</t>
  </si>
  <si>
    <t>35,728</t>
  </si>
  <si>
    <t>38,780</t>
  </si>
  <si>
    <t>41,421</t>
  </si>
  <si>
    <t>Whistler</t>
  </si>
  <si>
    <t>1,369</t>
  </si>
  <si>
    <t>4,460</t>
  </si>
  <si>
    <t>8,896</t>
  </si>
  <si>
    <t>White Rock</t>
  </si>
  <si>
    <t>13,550</t>
  </si>
  <si>
    <t>16,315</t>
  </si>
  <si>
    <t>18,250</t>
  </si>
  <si>
    <t>Williams Lake</t>
  </si>
  <si>
    <t>8,362</t>
  </si>
  <si>
    <t>10,385</t>
  </si>
  <si>
    <t>11,153</t>
  </si>
  <si>
    <t>Address</t>
  </si>
  <si>
    <t>4678 AAAA St.</t>
  </si>
  <si>
    <t>Add basement suite</t>
  </si>
  <si>
    <t>Construction Floor space</t>
  </si>
  <si>
    <t>SQFT</t>
  </si>
  <si>
    <t>Profit</t>
  </si>
  <si>
    <t>Renovatio cost allocation</t>
  </si>
  <si>
    <t>Renovation Result</t>
  </si>
  <si>
    <t>Task</t>
  </si>
  <si>
    <t>Unit price</t>
  </si>
  <si>
    <t>% from total cost</t>
  </si>
  <si>
    <t>Total cost</t>
  </si>
  <si>
    <t>New project cost</t>
  </si>
  <si>
    <t>New Project Cost Calculator</t>
  </si>
  <si>
    <t>total cost</t>
  </si>
  <si>
    <t>Back to bookkeeping</t>
  </si>
  <si>
    <t>More</t>
  </si>
  <si>
    <t>Back</t>
  </si>
  <si>
    <t>Renovation period (month)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</si>
</sst>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_);[Red]\(&quot;$&quot;#,##0.00\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Times New Roman"/>
      <family val="1"/>
    </font>
    <font>
      <b/>
      <sz val="13"/>
      <color theme="3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3"/>
      <color theme="3"/>
      <name val="Times New Roman"/>
      <family val="1"/>
    </font>
    <font>
      <b/>
      <u val="singleAccounting"/>
      <sz val="13"/>
      <color theme="3"/>
      <name val="Times New Roman"/>
      <family val="1"/>
    </font>
    <font>
      <b/>
      <u/>
      <sz val="14"/>
      <name val="Times New Roman"/>
      <family val="1"/>
    </font>
    <font>
      <b/>
      <sz val="12"/>
      <name val="Times New Roman"/>
      <family val="1"/>
    </font>
    <font>
      <sz val="11"/>
      <name val="Times New Roman"/>
      <family val="1"/>
    </font>
    <font>
      <b/>
      <sz val="11"/>
      <color theme="1"/>
      <name val="Times New Roman"/>
      <family val="1"/>
    </font>
    <font>
      <b/>
      <u/>
      <sz val="12"/>
      <name val="Times New Roman"/>
      <family val="1"/>
    </font>
    <font>
      <b/>
      <u/>
      <sz val="11"/>
      <name val="Times New Roman"/>
      <family val="1"/>
    </font>
    <font>
      <u/>
      <sz val="11"/>
      <name val="Times New Roman"/>
      <family val="1"/>
    </font>
    <font>
      <b/>
      <sz val="11"/>
      <color theme="0"/>
      <name val="Times New Roman"/>
      <family val="1"/>
    </font>
    <font>
      <sz val="11"/>
      <color rgb="FF3F3F76"/>
      <name val="Times New Roman"/>
      <family val="1"/>
    </font>
    <font>
      <b/>
      <sz val="11"/>
      <color rgb="FF3F3F3F"/>
      <name val="Times New Roman"/>
      <family val="1"/>
    </font>
    <font>
      <sz val="11"/>
      <color theme="1"/>
      <name val="Courier New"/>
      <family val="3"/>
    </font>
    <font>
      <b/>
      <sz val="14"/>
      <color theme="4" tint="-0.499984740745262"/>
      <name val="Times New Roman"/>
      <family val="1"/>
    </font>
    <font>
      <b/>
      <u/>
      <sz val="14"/>
      <color theme="4" tint="-0.499984740745262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505050"/>
      </left>
      <right/>
      <top style="medium">
        <color rgb="FF505050"/>
      </top>
      <bottom style="thin">
        <color rgb="FF505050"/>
      </bottom>
      <diagonal/>
    </border>
    <border>
      <left/>
      <right style="medium">
        <color rgb="FF505050"/>
      </right>
      <top style="medium">
        <color rgb="FF505050"/>
      </top>
      <bottom style="thin">
        <color rgb="FF505050"/>
      </bottom>
      <diagonal/>
    </border>
    <border>
      <left style="medium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medium">
        <color rgb="FF505050"/>
      </right>
      <top style="thin">
        <color rgb="FF505050"/>
      </top>
      <bottom style="thin">
        <color rgb="FF505050"/>
      </bottom>
      <diagonal/>
    </border>
    <border>
      <left style="medium">
        <color rgb="FF505050"/>
      </left>
      <right style="thin">
        <color rgb="FF505050"/>
      </right>
      <top style="thin">
        <color rgb="FF505050"/>
      </top>
      <bottom style="medium">
        <color rgb="FF505050"/>
      </bottom>
      <diagonal/>
    </border>
    <border>
      <left style="thin">
        <color rgb="FF505050"/>
      </left>
      <right style="medium">
        <color rgb="FF505050"/>
      </right>
      <top style="thin">
        <color rgb="FF505050"/>
      </top>
      <bottom style="medium">
        <color rgb="FF50505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 style="double">
        <color rgb="FF3F3F3F"/>
      </top>
      <bottom style="medium">
        <color indexed="64"/>
      </bottom>
      <diagonal/>
    </border>
  </borders>
  <cellStyleXfs count="10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58" applyNumberFormat="0" applyFill="0" applyAlignment="0" applyProtection="0"/>
    <xf numFmtId="0" fontId="4" fillId="6" borderId="59" applyNumberFormat="0" applyAlignment="0" applyProtection="0"/>
    <xf numFmtId="0" fontId="5" fillId="7" borderId="60" applyNumberFormat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6" fillId="10" borderId="65" applyNumberFormat="0" applyAlignment="0" applyProtection="0"/>
  </cellStyleXfs>
  <cellXfs count="221">
    <xf numFmtId="0" fontId="0" fillId="0" borderId="0" xfId="0"/>
    <xf numFmtId="0" fontId="7" fillId="2" borderId="0" xfId="3" applyFont="1" applyFill="1" applyAlignment="1">
      <alignment horizontal="center"/>
    </xf>
    <xf numFmtId="44" fontId="8" fillId="2" borderId="58" xfId="4" applyNumberFormat="1" applyFont="1" applyFill="1" applyAlignment="1">
      <alignment horizontal="center"/>
    </xf>
    <xf numFmtId="0" fontId="8" fillId="2" borderId="58" xfId="4" applyFont="1" applyFill="1" applyAlignment="1">
      <alignment horizontal="center"/>
    </xf>
    <xf numFmtId="44" fontId="9" fillId="2" borderId="0" xfId="1" applyFont="1" applyFill="1"/>
    <xf numFmtId="0" fontId="9" fillId="2" borderId="0" xfId="0" applyFont="1" applyFill="1"/>
    <xf numFmtId="0" fontId="10" fillId="2" borderId="0" xfId="0" applyFont="1" applyFill="1"/>
    <xf numFmtId="0" fontId="9" fillId="4" borderId="0" xfId="0" applyFont="1" applyFill="1"/>
    <xf numFmtId="44" fontId="12" fillId="2" borderId="58" xfId="4" applyNumberFormat="1" applyFont="1" applyFill="1" applyAlignment="1">
      <alignment horizontal="center"/>
    </xf>
    <xf numFmtId="3" fontId="9" fillId="4" borderId="0" xfId="1" applyNumberFormat="1" applyFont="1" applyFill="1"/>
    <xf numFmtId="0" fontId="14" fillId="3" borderId="19" xfId="0" applyFont="1" applyFill="1" applyBorder="1" applyAlignment="1">
      <alignment horizontal="center"/>
    </xf>
    <xf numFmtId="164" fontId="15" fillId="3" borderId="20" xfId="0" applyNumberFormat="1" applyFont="1" applyFill="1" applyBorder="1" applyAlignment="1"/>
    <xf numFmtId="0" fontId="10" fillId="2" borderId="10" xfId="0" applyFont="1" applyFill="1" applyBorder="1" applyAlignment="1">
      <alignment horizontal="left"/>
    </xf>
    <xf numFmtId="44" fontId="9" fillId="4" borderId="10" xfId="1" applyFont="1" applyFill="1" applyBorder="1"/>
    <xf numFmtId="17" fontId="16" fillId="2" borderId="0" xfId="0" applyNumberFormat="1" applyFont="1" applyFill="1"/>
    <xf numFmtId="17" fontId="9" fillId="4" borderId="0" xfId="0" applyNumberFormat="1" applyFont="1" applyFill="1" applyAlignment="1" applyProtection="1">
      <alignment horizontal="right"/>
    </xf>
    <xf numFmtId="44" fontId="9" fillId="4" borderId="0" xfId="1" applyFont="1" applyFill="1"/>
    <xf numFmtId="164" fontId="9" fillId="2" borderId="0" xfId="0" applyNumberFormat="1" applyFont="1" applyFill="1"/>
    <xf numFmtId="10" fontId="9" fillId="2" borderId="0" xfId="2" applyNumberFormat="1" applyFont="1" applyFill="1"/>
    <xf numFmtId="44" fontId="9" fillId="2" borderId="0" xfId="0" applyNumberFormat="1" applyFont="1" applyFill="1"/>
    <xf numFmtId="10" fontId="15" fillId="3" borderId="20" xfId="0" applyNumberFormat="1" applyFont="1" applyFill="1" applyBorder="1" applyAlignment="1"/>
    <xf numFmtId="0" fontId="10" fillId="2" borderId="14" xfId="0" applyFont="1" applyFill="1" applyBorder="1" applyAlignment="1">
      <alignment horizontal="left"/>
    </xf>
    <xf numFmtId="0" fontId="9" fillId="4" borderId="14" xfId="1" applyNumberFormat="1" applyFont="1" applyFill="1" applyBorder="1"/>
    <xf numFmtId="0" fontId="9" fillId="4" borderId="0" xfId="0" applyFont="1" applyFill="1" applyAlignment="1" applyProtection="1">
      <alignment horizontal="right"/>
    </xf>
    <xf numFmtId="0" fontId="15" fillId="5" borderId="20" xfId="0" applyFont="1" applyFill="1" applyBorder="1" applyAlignment="1">
      <alignment vertical="center"/>
    </xf>
    <xf numFmtId="0" fontId="10" fillId="2" borderId="6" xfId="0" applyFont="1" applyFill="1" applyBorder="1"/>
    <xf numFmtId="44" fontId="9" fillId="2" borderId="6" xfId="1" applyFont="1" applyFill="1" applyBorder="1"/>
    <xf numFmtId="0" fontId="15" fillId="5" borderId="20" xfId="0" applyFont="1" applyFill="1" applyBorder="1" applyAlignment="1"/>
    <xf numFmtId="0" fontId="10" fillId="2" borderId="0" xfId="0" applyFont="1" applyFill="1" applyBorder="1" applyAlignment="1">
      <alignment horizontal="right"/>
    </xf>
    <xf numFmtId="44" fontId="9" fillId="4" borderId="0" xfId="1" applyFont="1" applyFill="1" applyBorder="1"/>
    <xf numFmtId="10" fontId="15" fillId="5" borderId="20" xfId="0" applyNumberFormat="1" applyFont="1" applyFill="1" applyBorder="1" applyAlignment="1"/>
    <xf numFmtId="0" fontId="15" fillId="3" borderId="20" xfId="0" applyFont="1" applyFill="1" applyBorder="1" applyAlignment="1">
      <alignment horizontal="right" vertical="center"/>
    </xf>
    <xf numFmtId="0" fontId="14" fillId="3" borderId="21" xfId="0" applyFont="1" applyFill="1" applyBorder="1" applyAlignment="1">
      <alignment horizontal="center"/>
    </xf>
    <xf numFmtId="164" fontId="15" fillId="3" borderId="22" xfId="0" applyNumberFormat="1" applyFont="1" applyFill="1" applyBorder="1" applyAlignment="1"/>
    <xf numFmtId="44" fontId="16" fillId="2" borderId="0" xfId="1" applyFont="1" applyFill="1"/>
    <xf numFmtId="0" fontId="9" fillId="4" borderId="0" xfId="0" applyFont="1" applyFill="1" applyAlignment="1">
      <alignment horizontal="right"/>
    </xf>
    <xf numFmtId="0" fontId="17" fillId="2" borderId="0" xfId="3" applyFont="1" applyFill="1" applyBorder="1" applyAlignment="1">
      <alignment horizontal="right"/>
    </xf>
    <xf numFmtId="164" fontId="9" fillId="2" borderId="0" xfId="1" applyNumberFormat="1" applyFont="1" applyFill="1" applyBorder="1"/>
    <xf numFmtId="0" fontId="16" fillId="2" borderId="13" xfId="0" applyFont="1" applyFill="1" applyBorder="1"/>
    <xf numFmtId="44" fontId="9" fillId="2" borderId="13" xfId="1" applyFont="1" applyFill="1" applyBorder="1"/>
    <xf numFmtId="164" fontId="9" fillId="2" borderId="13" xfId="0" applyNumberFormat="1" applyFont="1" applyFill="1" applyBorder="1"/>
    <xf numFmtId="10" fontId="9" fillId="2" borderId="13" xfId="2" applyNumberFormat="1" applyFont="1" applyFill="1" applyBorder="1"/>
    <xf numFmtId="44" fontId="9" fillId="2" borderId="13" xfId="0" applyNumberFormat="1" applyFont="1" applyFill="1" applyBorder="1"/>
    <xf numFmtId="0" fontId="17" fillId="2" borderId="10" xfId="3" applyFont="1" applyFill="1" applyBorder="1"/>
    <xf numFmtId="44" fontId="9" fillId="2" borderId="10" xfId="1" applyFont="1" applyFill="1" applyBorder="1"/>
    <xf numFmtId="0" fontId="10" fillId="2" borderId="14" xfId="0" applyFont="1" applyFill="1" applyBorder="1"/>
    <xf numFmtId="44" fontId="9" fillId="2" borderId="14" xfId="1" applyFont="1" applyFill="1" applyBorder="1"/>
    <xf numFmtId="17" fontId="9" fillId="2" borderId="0" xfId="0" applyNumberFormat="1" applyFont="1" applyFill="1" applyAlignment="1">
      <alignment horizontal="right"/>
    </xf>
    <xf numFmtId="0" fontId="10" fillId="2" borderId="10" xfId="0" applyFont="1" applyFill="1" applyBorder="1"/>
    <xf numFmtId="10" fontId="9" fillId="4" borderId="10" xfId="2" applyNumberFormat="1" applyFont="1" applyFill="1" applyBorder="1"/>
    <xf numFmtId="0" fontId="9" fillId="2" borderId="0" xfId="0" applyFont="1" applyFill="1" applyAlignment="1">
      <alignment horizontal="right"/>
    </xf>
    <xf numFmtId="0" fontId="10" fillId="2" borderId="2" xfId="0" applyFont="1" applyFill="1" applyBorder="1"/>
    <xf numFmtId="44" fontId="9" fillId="2" borderId="2" xfId="1" applyFont="1" applyFill="1" applyBorder="1"/>
    <xf numFmtId="0" fontId="10" fillId="2" borderId="13" xfId="0" applyFont="1" applyFill="1" applyBorder="1"/>
    <xf numFmtId="0" fontId="10" fillId="2" borderId="15" xfId="0" applyFont="1" applyFill="1" applyBorder="1"/>
    <xf numFmtId="44" fontId="9" fillId="2" borderId="15" xfId="1" applyFont="1" applyFill="1" applyBorder="1"/>
    <xf numFmtId="10" fontId="9" fillId="2" borderId="15" xfId="2" applyNumberFormat="1" applyFont="1" applyFill="1" applyBorder="1"/>
    <xf numFmtId="0" fontId="9" fillId="2" borderId="0" xfId="0" applyFont="1" applyFill="1" applyBorder="1"/>
    <xf numFmtId="44" fontId="9" fillId="2" borderId="0" xfId="1" applyFont="1" applyFill="1" applyBorder="1"/>
    <xf numFmtId="0" fontId="18" fillId="2" borderId="15" xfId="3" applyFont="1" applyFill="1" applyBorder="1"/>
    <xf numFmtId="164" fontId="9" fillId="2" borderId="15" xfId="0" applyNumberFormat="1" applyFont="1" applyFill="1" applyBorder="1"/>
    <xf numFmtId="0" fontId="9" fillId="2" borderId="14" xfId="0" applyFont="1" applyFill="1" applyBorder="1"/>
    <xf numFmtId="44" fontId="9" fillId="2" borderId="15" xfId="0" applyNumberFormat="1" applyFont="1" applyFill="1" applyBorder="1"/>
    <xf numFmtId="0" fontId="19" fillId="2" borderId="0" xfId="3" applyFont="1" applyFill="1"/>
    <xf numFmtId="0" fontId="7" fillId="2" borderId="0" xfId="3" applyFont="1" applyFill="1"/>
    <xf numFmtId="0" fontId="9" fillId="2" borderId="46" xfId="0" applyFont="1" applyFill="1" applyBorder="1" applyAlignment="1">
      <alignment horizontal="center" vertical="center" wrapText="1"/>
    </xf>
    <xf numFmtId="0" fontId="9" fillId="2" borderId="35" xfId="0" applyFont="1" applyFill="1" applyBorder="1" applyAlignment="1">
      <alignment horizontal="center" vertical="center" wrapText="1"/>
    </xf>
    <xf numFmtId="0" fontId="9" fillId="2" borderId="36" xfId="0" applyFont="1" applyFill="1" applyBorder="1" applyAlignment="1">
      <alignment horizontal="center" vertical="center" wrapText="1"/>
    </xf>
    <xf numFmtId="0" fontId="9" fillId="2" borderId="3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2" borderId="42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wrapText="1"/>
    </xf>
    <xf numFmtId="0" fontId="9" fillId="2" borderId="0" xfId="0" applyFont="1" applyFill="1" applyAlignment="1">
      <alignment vertical="center" wrapText="1"/>
    </xf>
    <xf numFmtId="16" fontId="9" fillId="2" borderId="45" xfId="0" applyNumberFormat="1" applyFont="1" applyFill="1" applyBorder="1"/>
    <xf numFmtId="44" fontId="9" fillId="2" borderId="3" xfId="0" applyNumberFormat="1" applyFont="1" applyFill="1" applyBorder="1"/>
    <xf numFmtId="10" fontId="9" fillId="2" borderId="2" xfId="2" applyNumberFormat="1" applyFont="1" applyFill="1" applyBorder="1"/>
    <xf numFmtId="0" fontId="9" fillId="2" borderId="4" xfId="0" applyNumberFormat="1" applyFont="1" applyFill="1" applyBorder="1"/>
    <xf numFmtId="0" fontId="9" fillId="2" borderId="23" xfId="0" applyFont="1" applyFill="1" applyBorder="1"/>
    <xf numFmtId="44" fontId="9" fillId="2" borderId="1" xfId="0" applyNumberFormat="1" applyFont="1" applyFill="1" applyBorder="1"/>
    <xf numFmtId="44" fontId="9" fillId="2" borderId="24" xfId="0" applyNumberFormat="1" applyFont="1" applyFill="1" applyBorder="1"/>
    <xf numFmtId="16" fontId="9" fillId="2" borderId="28" xfId="0" applyNumberFormat="1" applyFont="1" applyFill="1" applyBorder="1"/>
    <xf numFmtId="44" fontId="9" fillId="2" borderId="7" xfId="0" applyNumberFormat="1" applyFont="1" applyFill="1" applyBorder="1"/>
    <xf numFmtId="10" fontId="9" fillId="2" borderId="6" xfId="2" applyNumberFormat="1" applyFont="1" applyFill="1" applyBorder="1"/>
    <xf numFmtId="0" fontId="9" fillId="2" borderId="8" xfId="0" applyNumberFormat="1" applyFont="1" applyFill="1" applyBorder="1"/>
    <xf numFmtId="0" fontId="9" fillId="2" borderId="25" xfId="0" applyFont="1" applyFill="1" applyBorder="1"/>
    <xf numFmtId="44" fontId="9" fillId="2" borderId="5" xfId="0" applyNumberFormat="1" applyFont="1" applyFill="1" applyBorder="1"/>
    <xf numFmtId="44" fontId="9" fillId="2" borderId="26" xfId="0" applyNumberFormat="1" applyFont="1" applyFill="1" applyBorder="1"/>
    <xf numFmtId="0" fontId="9" fillId="2" borderId="28" xfId="0" applyFont="1" applyFill="1" applyBorder="1"/>
    <xf numFmtId="17" fontId="9" fillId="2" borderId="25" xfId="0" applyNumberFormat="1" applyFont="1" applyFill="1" applyBorder="1"/>
    <xf numFmtId="0" fontId="9" fillId="2" borderId="49" xfId="0" applyFont="1" applyFill="1" applyBorder="1"/>
    <xf numFmtId="44" fontId="9" fillId="2" borderId="11" xfId="0" applyNumberFormat="1" applyFont="1" applyFill="1" applyBorder="1"/>
    <xf numFmtId="10" fontId="9" fillId="2" borderId="10" xfId="2" applyNumberFormat="1" applyFont="1" applyFill="1" applyBorder="1"/>
    <xf numFmtId="0" fontId="9" fillId="2" borderId="12" xfId="0" applyNumberFormat="1" applyFont="1" applyFill="1" applyBorder="1"/>
    <xf numFmtId="0" fontId="9" fillId="2" borderId="40" xfId="0" applyFont="1" applyFill="1" applyBorder="1"/>
    <xf numFmtId="44" fontId="9" fillId="2" borderId="48" xfId="0" applyNumberFormat="1" applyFont="1" applyFill="1" applyBorder="1"/>
    <xf numFmtId="10" fontId="9" fillId="2" borderId="63" xfId="2" applyNumberFormat="1" applyFont="1" applyFill="1" applyBorder="1"/>
    <xf numFmtId="0" fontId="9" fillId="2" borderId="64" xfId="0" applyNumberFormat="1" applyFont="1" applyFill="1" applyBorder="1"/>
    <xf numFmtId="0" fontId="9" fillId="2" borderId="31" xfId="0" applyFont="1" applyFill="1" applyBorder="1"/>
    <xf numFmtId="44" fontId="9" fillId="2" borderId="32" xfId="0" applyNumberFormat="1" applyFont="1" applyFill="1" applyBorder="1"/>
    <xf numFmtId="44" fontId="9" fillId="2" borderId="53" xfId="0" applyNumberFormat="1" applyFont="1" applyFill="1" applyBorder="1"/>
    <xf numFmtId="0" fontId="7" fillId="2" borderId="0" xfId="3" applyFont="1" applyFill="1" applyBorder="1" applyAlignment="1">
      <alignment horizontal="left"/>
    </xf>
    <xf numFmtId="0" fontId="9" fillId="2" borderId="50" xfId="0" applyFont="1" applyFill="1" applyBorder="1"/>
    <xf numFmtId="44" fontId="9" fillId="2" borderId="47" xfId="0" applyNumberFormat="1" applyFont="1" applyFill="1" applyBorder="1"/>
    <xf numFmtId="44" fontId="9" fillId="2" borderId="38" xfId="0" applyNumberFormat="1" applyFont="1" applyFill="1" applyBorder="1"/>
    <xf numFmtId="44" fontId="9" fillId="2" borderId="39" xfId="0" applyNumberFormat="1" applyFont="1" applyFill="1" applyBorder="1"/>
    <xf numFmtId="0" fontId="9" fillId="2" borderId="51" xfId="0" applyFont="1" applyFill="1" applyBorder="1"/>
    <xf numFmtId="44" fontId="9" fillId="2" borderId="40" xfId="0" applyNumberFormat="1" applyFont="1" applyFill="1" applyBorder="1"/>
    <xf numFmtId="17" fontId="19" fillId="2" borderId="25" xfId="3" applyNumberFormat="1" applyFont="1" applyFill="1" applyBorder="1"/>
    <xf numFmtId="0" fontId="19" fillId="2" borderId="25" xfId="3" applyFont="1" applyFill="1" applyBorder="1"/>
    <xf numFmtId="0" fontId="7" fillId="2" borderId="0" xfId="3" applyFont="1" applyFill="1" applyBorder="1" applyAlignment="1">
      <alignment horizontal="center"/>
    </xf>
    <xf numFmtId="8" fontId="9" fillId="2" borderId="0" xfId="0" applyNumberFormat="1" applyFont="1" applyFill="1"/>
    <xf numFmtId="0" fontId="19" fillId="2" borderId="29" xfId="3" applyFont="1" applyFill="1" applyBorder="1"/>
    <xf numFmtId="17" fontId="19" fillId="2" borderId="29" xfId="3" applyNumberFormat="1" applyFont="1" applyFill="1" applyBorder="1"/>
    <xf numFmtId="44" fontId="9" fillId="2" borderId="30" xfId="0" applyNumberFormat="1" applyFont="1" applyFill="1" applyBorder="1"/>
    <xf numFmtId="44" fontId="9" fillId="2" borderId="9" xfId="0" applyNumberFormat="1" applyFont="1" applyFill="1" applyBorder="1"/>
    <xf numFmtId="44" fontId="9" fillId="2" borderId="0" xfId="0" applyNumberFormat="1" applyFont="1" applyFill="1" applyBorder="1"/>
    <xf numFmtId="0" fontId="9" fillId="2" borderId="43" xfId="0" applyFont="1" applyFill="1" applyBorder="1"/>
    <xf numFmtId="44" fontId="9" fillId="2" borderId="44" xfId="0" applyNumberFormat="1" applyFont="1" applyFill="1" applyBorder="1"/>
    <xf numFmtId="0" fontId="9" fillId="2" borderId="5" xfId="0" applyFont="1" applyFill="1" applyBorder="1"/>
    <xf numFmtId="17" fontId="9" fillId="2" borderId="31" xfId="0" applyNumberFormat="1" applyFont="1" applyFill="1" applyBorder="1"/>
    <xf numFmtId="0" fontId="9" fillId="2" borderId="41" xfId="0" applyFont="1" applyFill="1" applyBorder="1"/>
    <xf numFmtId="44" fontId="9" fillId="2" borderId="54" xfId="0" applyNumberFormat="1" applyFont="1" applyFill="1" applyBorder="1"/>
    <xf numFmtId="44" fontId="9" fillId="2" borderId="42" xfId="0" applyNumberFormat="1" applyFont="1" applyFill="1" applyBorder="1"/>
    <xf numFmtId="44" fontId="9" fillId="2" borderId="37" xfId="0" applyNumberFormat="1" applyFont="1" applyFill="1" applyBorder="1"/>
    <xf numFmtId="17" fontId="8" fillId="2" borderId="0" xfId="4" applyNumberFormat="1" applyFont="1" applyFill="1" applyBorder="1" applyAlignment="1">
      <alignment horizontal="center"/>
    </xf>
    <xf numFmtId="0" fontId="9" fillId="2" borderId="42" xfId="0" applyFont="1" applyFill="1" applyBorder="1" applyAlignment="1">
      <alignment horizontal="center"/>
    </xf>
    <xf numFmtId="44" fontId="9" fillId="2" borderId="42" xfId="1" applyFont="1" applyFill="1" applyBorder="1" applyAlignment="1">
      <alignment horizontal="center"/>
    </xf>
    <xf numFmtId="0" fontId="9" fillId="2" borderId="37" xfId="0" applyFont="1" applyFill="1" applyBorder="1" applyAlignment="1">
      <alignment horizontal="center"/>
    </xf>
    <xf numFmtId="0" fontId="9" fillId="2" borderId="24" xfId="0" applyFont="1" applyFill="1" applyBorder="1"/>
    <xf numFmtId="16" fontId="9" fillId="2" borderId="5" xfId="1" applyNumberFormat="1" applyFont="1" applyFill="1" applyBorder="1"/>
    <xf numFmtId="44" fontId="9" fillId="2" borderId="5" xfId="1" applyFont="1" applyFill="1" applyBorder="1"/>
    <xf numFmtId="10" fontId="9" fillId="2" borderId="5" xfId="2" applyNumberFormat="1" applyFont="1" applyFill="1" applyBorder="1"/>
    <xf numFmtId="44" fontId="9" fillId="2" borderId="9" xfId="1" applyFont="1" applyFill="1" applyBorder="1"/>
    <xf numFmtId="10" fontId="9" fillId="2" borderId="9" xfId="2" applyNumberFormat="1" applyFont="1" applyFill="1" applyBorder="1"/>
    <xf numFmtId="44" fontId="9" fillId="2" borderId="42" xfId="1" applyFont="1" applyFill="1" applyBorder="1"/>
    <xf numFmtId="10" fontId="9" fillId="2" borderId="42" xfId="2" applyNumberFormat="1" applyFont="1" applyFill="1" applyBorder="1"/>
    <xf numFmtId="44" fontId="9" fillId="2" borderId="56" xfId="1" applyFont="1" applyFill="1" applyBorder="1"/>
    <xf numFmtId="10" fontId="9" fillId="2" borderId="56" xfId="2" applyNumberFormat="1" applyFont="1" applyFill="1" applyBorder="1"/>
    <xf numFmtId="44" fontId="9" fillId="2" borderId="57" xfId="0" applyNumberFormat="1" applyFont="1" applyFill="1" applyBorder="1"/>
    <xf numFmtId="9" fontId="9" fillId="2" borderId="42" xfId="2" applyFont="1" applyFill="1" applyBorder="1"/>
    <xf numFmtId="0" fontId="8" fillId="2" borderId="0" xfId="4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20" fillId="7" borderId="60" xfId="6" applyFont="1" applyAlignment="1">
      <alignment horizontal="center" vertical="center"/>
    </xf>
    <xf numFmtId="44" fontId="20" fillId="7" borderId="60" xfId="6" applyNumberFormat="1" applyFont="1" applyAlignment="1">
      <alignment horizontal="center" vertical="center"/>
    </xf>
    <xf numFmtId="10" fontId="20" fillId="7" borderId="60" xfId="6" applyNumberFormat="1" applyFont="1" applyAlignment="1">
      <alignment horizontal="center" vertical="center"/>
    </xf>
    <xf numFmtId="0" fontId="20" fillId="7" borderId="60" xfId="6" applyFont="1" applyAlignment="1">
      <alignment horizontal="center"/>
    </xf>
    <xf numFmtId="44" fontId="20" fillId="7" borderId="60" xfId="6" applyNumberFormat="1" applyFont="1" applyAlignment="1">
      <alignment horizontal="center"/>
    </xf>
    <xf numFmtId="10" fontId="20" fillId="7" borderId="60" xfId="6" applyNumberFormat="1" applyFont="1" applyAlignment="1">
      <alignment horizontal="center"/>
    </xf>
    <xf numFmtId="44" fontId="20" fillId="7" borderId="60" xfId="1" applyFont="1" applyFill="1" applyBorder="1" applyAlignment="1">
      <alignment horizontal="center"/>
    </xf>
    <xf numFmtId="0" fontId="9" fillId="2" borderId="31" xfId="0" applyFont="1" applyFill="1" applyBorder="1" applyAlignment="1">
      <alignment horizontal="center"/>
    </xf>
    <xf numFmtId="44" fontId="9" fillId="2" borderId="32" xfId="1" applyFont="1" applyFill="1" applyBorder="1"/>
    <xf numFmtId="10" fontId="9" fillId="2" borderId="32" xfId="2" applyNumberFormat="1" applyFont="1" applyFill="1" applyBorder="1"/>
    <xf numFmtId="44" fontId="9" fillId="2" borderId="31" xfId="1" applyFont="1" applyFill="1" applyBorder="1" applyAlignment="1">
      <alignment horizontal="center"/>
    </xf>
    <xf numFmtId="44" fontId="9" fillId="2" borderId="53" xfId="1" applyFont="1" applyFill="1" applyBorder="1"/>
    <xf numFmtId="10" fontId="8" fillId="2" borderId="58" xfId="4" applyNumberFormat="1" applyFont="1" applyFill="1" applyAlignment="1">
      <alignment horizontal="center"/>
    </xf>
    <xf numFmtId="10" fontId="8" fillId="2" borderId="58" xfId="1" applyNumberFormat="1" applyFont="1" applyFill="1" applyBorder="1" applyAlignment="1">
      <alignment horizontal="center"/>
    </xf>
    <xf numFmtId="44" fontId="8" fillId="2" borderId="58" xfId="1" applyFont="1" applyFill="1" applyBorder="1" applyAlignment="1">
      <alignment horizontal="center"/>
    </xf>
    <xf numFmtId="17" fontId="9" fillId="8" borderId="10" xfId="7" applyNumberFormat="1" applyFont="1" applyBorder="1" applyAlignment="1">
      <alignment horizontal="center"/>
    </xf>
    <xf numFmtId="44" fontId="9" fillId="8" borderId="10" xfId="7" applyNumberFormat="1" applyFont="1" applyBorder="1"/>
    <xf numFmtId="17" fontId="9" fillId="8" borderId="0" xfId="7" applyNumberFormat="1" applyFont="1" applyBorder="1" applyAlignment="1">
      <alignment horizontal="center"/>
    </xf>
    <xf numFmtId="44" fontId="9" fillId="8" borderId="0" xfId="7" applyNumberFormat="1" applyFont="1" applyBorder="1"/>
    <xf numFmtId="17" fontId="9" fillId="8" borderId="14" xfId="7" applyNumberFormat="1" applyFont="1" applyBorder="1" applyAlignment="1">
      <alignment horizontal="center"/>
    </xf>
    <xf numFmtId="44" fontId="9" fillId="8" borderId="14" xfId="7" applyNumberFormat="1" applyFont="1" applyBorder="1"/>
    <xf numFmtId="17" fontId="9" fillId="8" borderId="0" xfId="7" applyNumberFormat="1" applyFont="1" applyAlignment="1">
      <alignment horizontal="center"/>
    </xf>
    <xf numFmtId="44" fontId="9" fillId="8" borderId="0" xfId="7" applyNumberFormat="1" applyFont="1"/>
    <xf numFmtId="0" fontId="9" fillId="0" borderId="0" xfId="0" applyFont="1" applyAlignment="1">
      <alignment vertical="center" wrapText="1"/>
    </xf>
    <xf numFmtId="0" fontId="9" fillId="0" borderId="0" xfId="0" applyNumberFormat="1" applyFont="1"/>
    <xf numFmtId="0" fontId="9" fillId="0" borderId="0" xfId="0" applyFont="1"/>
    <xf numFmtId="0" fontId="8" fillId="2" borderId="58" xfId="4" applyFont="1" applyFill="1"/>
    <xf numFmtId="17" fontId="9" fillId="9" borderId="10" xfId="8" applyNumberFormat="1" applyFont="1" applyBorder="1" applyAlignment="1">
      <alignment horizontal="center"/>
    </xf>
    <xf numFmtId="44" fontId="9" fillId="9" borderId="10" xfId="8" applyNumberFormat="1" applyFont="1" applyBorder="1"/>
    <xf numFmtId="10" fontId="9" fillId="9" borderId="10" xfId="8" applyNumberFormat="1" applyFont="1" applyBorder="1"/>
    <xf numFmtId="44" fontId="9" fillId="9" borderId="0" xfId="8" applyNumberFormat="1" applyFont="1"/>
    <xf numFmtId="17" fontId="9" fillId="9" borderId="0" xfId="8" applyNumberFormat="1" applyFont="1" applyAlignment="1">
      <alignment horizontal="center"/>
    </xf>
    <xf numFmtId="10" fontId="9" fillId="9" borderId="0" xfId="8" applyNumberFormat="1" applyFont="1"/>
    <xf numFmtId="17" fontId="9" fillId="9" borderId="14" xfId="8" applyNumberFormat="1" applyFont="1" applyBorder="1" applyAlignment="1">
      <alignment horizontal="center"/>
    </xf>
    <xf numFmtId="44" fontId="9" fillId="9" borderId="14" xfId="8" applyNumberFormat="1" applyFont="1" applyBorder="1"/>
    <xf numFmtId="10" fontId="9" fillId="9" borderId="14" xfId="8" applyNumberFormat="1" applyFont="1" applyBorder="1"/>
    <xf numFmtId="0" fontId="9" fillId="9" borderId="0" xfId="8" applyFont="1"/>
    <xf numFmtId="17" fontId="9" fillId="2" borderId="0" xfId="0" applyNumberFormat="1" applyFont="1" applyFill="1" applyAlignment="1">
      <alignment horizontal="center"/>
    </xf>
    <xf numFmtId="0" fontId="23" fillId="2" borderId="0" xfId="0" applyFont="1" applyFill="1"/>
    <xf numFmtId="0" fontId="2" fillId="2" borderId="0" xfId="3" applyFill="1" applyBorder="1" applyAlignment="1">
      <alignment horizontal="left"/>
    </xf>
    <xf numFmtId="0" fontId="24" fillId="2" borderId="0" xfId="0" applyFont="1" applyFill="1" applyAlignment="1">
      <alignment horizontal="center"/>
    </xf>
    <xf numFmtId="0" fontId="24" fillId="2" borderId="0" xfId="4" applyFont="1" applyFill="1" applyBorder="1" applyAlignment="1">
      <alignment horizontal="center"/>
    </xf>
    <xf numFmtId="17" fontId="24" fillId="2" borderId="0" xfId="4" applyNumberFormat="1" applyFont="1" applyFill="1" applyBorder="1" applyAlignment="1">
      <alignment horizontal="center"/>
    </xf>
    <xf numFmtId="0" fontId="2" fillId="2" borderId="0" xfId="3" applyFill="1"/>
    <xf numFmtId="0" fontId="9" fillId="2" borderId="66" xfId="0" applyFont="1" applyFill="1" applyBorder="1"/>
    <xf numFmtId="3" fontId="21" fillId="6" borderId="68" xfId="5" applyNumberFormat="1" applyFont="1" applyBorder="1"/>
    <xf numFmtId="10" fontId="9" fillId="2" borderId="67" xfId="2" applyNumberFormat="1" applyFont="1" applyFill="1" applyBorder="1"/>
    <xf numFmtId="44" fontId="22" fillId="10" borderId="69" xfId="9" applyNumberFormat="1" applyFont="1" applyBorder="1"/>
    <xf numFmtId="0" fontId="0" fillId="2" borderId="0" xfId="0" applyFill="1"/>
    <xf numFmtId="0" fontId="2" fillId="2" borderId="0" xfId="3" applyFill="1" applyBorder="1" applyAlignment="1">
      <alignment horizontal="center"/>
    </xf>
    <xf numFmtId="0" fontId="9" fillId="2" borderId="25" xfId="0" applyFont="1" applyFill="1" applyBorder="1" applyAlignment="1">
      <alignment horizontal="left"/>
    </xf>
    <xf numFmtId="0" fontId="9" fillId="2" borderId="5" xfId="0" applyFont="1" applyFill="1" applyBorder="1" applyAlignment="1">
      <alignment horizontal="left"/>
    </xf>
    <xf numFmtId="0" fontId="9" fillId="2" borderId="29" xfId="0" applyFont="1" applyFill="1" applyBorder="1" applyAlignment="1">
      <alignment horizontal="left"/>
    </xf>
    <xf numFmtId="0" fontId="9" fillId="2" borderId="9" xfId="0" applyFont="1" applyFill="1" applyBorder="1" applyAlignment="1">
      <alignment horizontal="left"/>
    </xf>
    <xf numFmtId="0" fontId="9" fillId="2" borderId="41" xfId="0" applyFont="1" applyFill="1" applyBorder="1" applyAlignment="1">
      <alignment horizontal="center"/>
    </xf>
    <xf numFmtId="0" fontId="9" fillId="2" borderId="42" xfId="0" applyFont="1" applyFill="1" applyBorder="1" applyAlignment="1">
      <alignment horizontal="center"/>
    </xf>
    <xf numFmtId="0" fontId="19" fillId="2" borderId="23" xfId="3" applyFont="1" applyFill="1" applyBorder="1" applyAlignment="1">
      <alignment horizontal="center"/>
    </xf>
    <xf numFmtId="0" fontId="19" fillId="2" borderId="1" xfId="3" applyFont="1" applyFill="1" applyBorder="1" applyAlignment="1">
      <alignment horizontal="center"/>
    </xf>
    <xf numFmtId="0" fontId="9" fillId="2" borderId="55" xfId="0" applyFont="1" applyFill="1" applyBorder="1" applyAlignment="1">
      <alignment horizontal="center"/>
    </xf>
    <xf numFmtId="0" fontId="9" fillId="2" borderId="56" xfId="0" applyFont="1" applyFill="1" applyBorder="1" applyAlignment="1">
      <alignment horizontal="center"/>
    </xf>
    <xf numFmtId="0" fontId="9" fillId="2" borderId="52" xfId="0" applyFont="1" applyFill="1" applyBorder="1" applyAlignment="1">
      <alignment horizontal="left"/>
    </xf>
    <xf numFmtId="0" fontId="9" fillId="2" borderId="48" xfId="0" applyFont="1" applyFill="1" applyBorder="1" applyAlignment="1">
      <alignment horizontal="left"/>
    </xf>
    <xf numFmtId="0" fontId="9" fillId="2" borderId="62" xfId="0" applyFont="1" applyFill="1" applyBorder="1" applyAlignment="1">
      <alignment horizontal="left"/>
    </xf>
    <xf numFmtId="0" fontId="9" fillId="2" borderId="27" xfId="0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0" fontId="9" fillId="2" borderId="28" xfId="0" applyFont="1" applyFill="1" applyBorder="1" applyAlignment="1">
      <alignment horizontal="center"/>
    </xf>
    <xf numFmtId="0" fontId="9" fillId="2" borderId="16" xfId="0" applyFont="1" applyFill="1" applyBorder="1" applyAlignment="1">
      <alignment horizontal="left"/>
    </xf>
    <xf numFmtId="0" fontId="9" fillId="2" borderId="7" xfId="0" applyFont="1" applyFill="1" applyBorder="1" applyAlignment="1">
      <alignment horizontal="left"/>
    </xf>
    <xf numFmtId="0" fontId="9" fillId="2" borderId="27" xfId="0" applyFont="1" applyFill="1" applyBorder="1" applyAlignment="1">
      <alignment horizontal="left"/>
    </xf>
    <xf numFmtId="0" fontId="11" fillId="2" borderId="58" xfId="4" applyFont="1" applyFill="1" applyAlignment="1">
      <alignment horizontal="center"/>
    </xf>
    <xf numFmtId="0" fontId="13" fillId="2" borderId="17" xfId="3" applyFont="1" applyFill="1" applyBorder="1" applyAlignment="1">
      <alignment horizontal="center" vertical="center"/>
    </xf>
    <xf numFmtId="0" fontId="13" fillId="2" borderId="18" xfId="3" applyFont="1" applyFill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 wrapText="1"/>
    </xf>
    <xf numFmtId="0" fontId="9" fillId="2" borderId="35" xfId="0" applyFont="1" applyFill="1" applyBorder="1" applyAlignment="1">
      <alignment horizontal="center" vertical="center" wrapText="1"/>
    </xf>
    <xf numFmtId="0" fontId="9" fillId="2" borderId="33" xfId="0" applyFont="1" applyFill="1" applyBorder="1" applyAlignment="1">
      <alignment horizontal="left"/>
    </xf>
    <xf numFmtId="0" fontId="9" fillId="2" borderId="3" xfId="0" applyFont="1" applyFill="1" applyBorder="1" applyAlignment="1">
      <alignment horizontal="left"/>
    </xf>
    <xf numFmtId="0" fontId="9" fillId="2" borderId="61" xfId="0" applyFont="1" applyFill="1" applyBorder="1" applyAlignment="1">
      <alignment horizontal="left"/>
    </xf>
    <xf numFmtId="0" fontId="16" fillId="2" borderId="0" xfId="0" applyFont="1" applyFill="1" applyAlignment="1">
      <alignment horizontal="center"/>
    </xf>
    <xf numFmtId="0" fontId="25" fillId="2" borderId="0" xfId="3" applyFont="1" applyFill="1" applyAlignment="1">
      <alignment horizontal="center"/>
    </xf>
  </cellXfs>
  <cellStyles count="10">
    <cellStyle name="20% - Accent1" xfId="7" builtinId="30"/>
    <cellStyle name="20% - Accent3" xfId="8" builtinId="38"/>
    <cellStyle name="Check Cell" xfId="6" builtinId="23"/>
    <cellStyle name="Currency" xfId="1" builtinId="4"/>
    <cellStyle name="Heading 2" xfId="4" builtinId="17"/>
    <cellStyle name="Hyperlink" xfId="3" builtinId="8"/>
    <cellStyle name="Input" xfId="5" builtinId="20"/>
    <cellStyle name="Normal" xfId="0" builtinId="0"/>
    <cellStyle name="Output" xfId="9" builtinId="21"/>
    <cellStyle name="Percent" xfId="2" builtinId="5"/>
  </cellStyles>
  <dxfs count="17"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Labour:Materials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Labour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A2B-45B5-887E-C6615045A78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A2B-45B5-887E-C6615045A78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AA2B-45B5-887E-C6615045A78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A2B-45B5-887E-C6615045A78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(2)'!$G$122,'Template (2)'!$G$138)</c:f>
              <c:numCache>
                <c:formatCode>_("$"* #,##0.00_);_("$"* \(#,##0.00\);_("$"* "-"??_);_(@_)</c:formatCode>
                <c:ptCount val="2"/>
                <c:pt idx="0">
                  <c:v>3000</c:v>
                </c:pt>
                <c:pt idx="1">
                  <c:v>650</c:v>
                </c:pt>
              </c:numCache>
            </c:numRef>
          </c:cat>
          <c:val>
            <c:numRef>
              <c:f>('Template (2)'!$H$122,'Template (2)'!$H$138)</c:f>
              <c:numCache>
                <c:formatCode>0.00%</c:formatCode>
                <c:ptCount val="2"/>
                <c:pt idx="0">
                  <c:v>0.82191780821917804</c:v>
                </c:pt>
                <c:pt idx="1">
                  <c:v>0.17808219178082191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2B-45B5-887E-C6615045A78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tx>
                  <c:v>Materials</c:v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6-AA2B-45B5-887E-C6615045A786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xmlns:c16="http://schemas.microsoft.com/office/drawing/2014/chart" uri="{C3380CC4-5D6E-409C-BE32-E72D297353CC}">
                        <c16:uniqueId val="{00000006-AA2B-45B5-887E-C6615045A786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07-AA2B-45B5-887E-C6615045A786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08B-4D34-9A23-9E16138D1D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08B-4D34-9A23-9E16138D1D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08B-4D34-9A23-9E16138D1D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D08B-4D34-9A23-9E16138D1D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(2)'!$G$147,'Template (2)'!$G$163)</c:f>
              <c:numCache>
                <c:formatCode>_("$"* #,##0.00_);_("$"* \(#,##0.00\);_("$"* "-"??_);_(@_)</c:formatCode>
                <c:ptCount val="2"/>
                <c:pt idx="0">
                  <c:v>4034</c:v>
                </c:pt>
                <c:pt idx="1">
                  <c:v>6174</c:v>
                </c:pt>
              </c:numCache>
            </c:numRef>
          </c:cat>
          <c:val>
            <c:numRef>
              <c:f>('Template (2)'!$H$147,'Template (2)'!$H$163)</c:f>
              <c:numCache>
                <c:formatCode>0.00%</c:formatCode>
                <c:ptCount val="2"/>
                <c:pt idx="0">
                  <c:v>0.39518025078369906</c:v>
                </c:pt>
                <c:pt idx="1">
                  <c:v>0.60481974921630099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8B-4D34-9A23-9E16138D1DCB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E9D-4FD6-8169-2D4A703BFC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E9D-4FD6-8169-2D4A703BFC4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E9D-4FD6-8169-2D4A703BFC4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7E9D-4FD6-8169-2D4A703BFC4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(2)'!$G$172,'Template (2)'!$G$188)</c:f>
              <c:numCache>
                <c:formatCode>_("$"* #,##0.00_);_("$"* \(#,##0.00\);_("$"* "-"??_);_(@_)</c:formatCode>
                <c:ptCount val="2"/>
                <c:pt idx="0">
                  <c:v>2560</c:v>
                </c:pt>
                <c:pt idx="1">
                  <c:v>3756</c:v>
                </c:pt>
              </c:numCache>
            </c:numRef>
          </c:cat>
          <c:val>
            <c:numRef>
              <c:f>('Template (2)'!$H$172,'Template (2)'!$H$188)</c:f>
              <c:numCache>
                <c:formatCode>0.00%</c:formatCode>
                <c:ptCount val="2"/>
                <c:pt idx="0">
                  <c:v>0.4053198226725776</c:v>
                </c:pt>
                <c:pt idx="1">
                  <c:v>0.5946801773274224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9D-4FD6-8169-2D4A703BFC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2B5-4EC4-9231-AB3114833E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2B5-4EC4-9231-AB3114833ED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2B5-4EC4-9231-AB3114833ED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2B5-4EC4-9231-AB3114833ED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(2)'!$G$197,'Template (2)'!$G$213)</c:f>
              <c:numCache>
                <c:formatCode>_("$"* #,##0.00_);_("$"* \(#,##0.00\);_("$"* "-"??_);_(@_)</c:formatCode>
                <c:ptCount val="2"/>
                <c:pt idx="0">
                  <c:v>2040</c:v>
                </c:pt>
                <c:pt idx="1">
                  <c:v>792</c:v>
                </c:pt>
              </c:numCache>
            </c:numRef>
          </c:cat>
          <c:val>
            <c:numRef>
              <c:f>('Template (2)'!$H$197,'Template (2)'!$H$213)</c:f>
              <c:numCache>
                <c:formatCode>0.00%</c:formatCode>
                <c:ptCount val="2"/>
                <c:pt idx="0">
                  <c:v>0.72033898305084743</c:v>
                </c:pt>
                <c:pt idx="1">
                  <c:v>0.27966101694915252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5-4EC4-9231-AB3114833ED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0D-4E5A-A72B-027AC3A986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0D-4E5A-A72B-027AC3A986F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0A0D-4E5A-A72B-027AC3A986F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0A0D-4E5A-A72B-027AC3A986F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(2)'!$G$247,'Template (2)'!$G$263)</c:f>
              <c:numCache>
                <c:formatCode>_("$"* #,##0.00_);_("$"* \(#,##0.00\);_("$"* "-"??_);_(@_)</c:formatCode>
                <c:ptCount val="2"/>
                <c:pt idx="0">
                  <c:v>6560</c:v>
                </c:pt>
                <c:pt idx="1">
                  <c:v>12000</c:v>
                </c:pt>
              </c:numCache>
            </c:numRef>
          </c:cat>
          <c:val>
            <c:numRef>
              <c:f>('Template (2)'!$H$247,'Template (2)'!$H$263)</c:f>
              <c:numCache>
                <c:formatCode>0.00%</c:formatCode>
                <c:ptCount val="2"/>
                <c:pt idx="0">
                  <c:v>0.35344827586206895</c:v>
                </c:pt>
                <c:pt idx="1">
                  <c:v>0.64655172413793105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0D-4E5A-A72B-027AC3A986F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4E8-4909-9A6C-16E3200E56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4E8-4909-9A6C-16E3200E561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64E8-4909-9A6C-16E3200E561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64E8-4909-9A6C-16E3200E561C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(2)'!$G$272,'Template (2)'!$G$288)</c:f>
              <c:numCache>
                <c:formatCode>_("$"* #,##0.00_);_("$"* \(#,##0.00\);_("$"* "-"??_);_(@_)</c:formatCode>
                <c:ptCount val="2"/>
                <c:pt idx="0">
                  <c:v>3260</c:v>
                </c:pt>
                <c:pt idx="1">
                  <c:v>2518</c:v>
                </c:pt>
              </c:numCache>
            </c:numRef>
          </c:cat>
          <c:val>
            <c:numRef>
              <c:f>('Template (2)'!$H$272,'Template (2)'!$H$288)</c:f>
              <c:numCache>
                <c:formatCode>0.00%</c:formatCode>
                <c:ptCount val="2"/>
                <c:pt idx="0">
                  <c:v>0.56420906888196609</c:v>
                </c:pt>
                <c:pt idx="1">
                  <c:v>0.43579093111803391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E8-4909-9A6C-16E3200E561C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290-43CE-8DD7-3267B78499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290-43CE-8DD7-3267B78499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290-43CE-8DD7-3267B78499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290-43CE-8DD7-3267B78499E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(2)'!$G$297,'Template (2)'!$G$313)</c:f>
              <c:numCache>
                <c:formatCode>_("$"* #,##0.00_);_("$"* \(#,##0.00\);_("$"* "-"??_);_(@_)</c:formatCode>
                <c:ptCount val="2"/>
                <c:pt idx="0">
                  <c:v>3500</c:v>
                </c:pt>
                <c:pt idx="1">
                  <c:v>5678</c:v>
                </c:pt>
              </c:numCache>
            </c:numRef>
          </c:cat>
          <c:val>
            <c:numRef>
              <c:f>('Template (2)'!$H$297,'Template (2)'!$H$313)</c:f>
              <c:numCache>
                <c:formatCode>0.00%</c:formatCode>
                <c:ptCount val="2"/>
                <c:pt idx="0">
                  <c:v>0.38134669862715187</c:v>
                </c:pt>
                <c:pt idx="1">
                  <c:v>0.61865330137284813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90-43CE-8DD7-3267B78499E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149-4C7E-B52D-898771BAC5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149-4C7E-B52D-898771BAC5C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149-4C7E-B52D-898771BAC5C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D149-4C7E-B52D-898771BAC5C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(2)'!$G$322,'Template (2)'!$G$338)</c:f>
              <c:numCache>
                <c:formatCode>_("$"* #,##0.00_);_("$"* \(#,##0.00\);_("$"* "-"??_);_(@_)</c:formatCode>
                <c:ptCount val="2"/>
                <c:pt idx="0">
                  <c:v>2900</c:v>
                </c:pt>
                <c:pt idx="1">
                  <c:v>350</c:v>
                </c:pt>
              </c:numCache>
            </c:numRef>
          </c:cat>
          <c:val>
            <c:numRef>
              <c:f>('Template (2)'!$H$322,'Template (2)'!$H$338)</c:f>
              <c:numCache>
                <c:formatCode>0.00%</c:formatCode>
                <c:ptCount val="2"/>
                <c:pt idx="0">
                  <c:v>0.89230769230769236</c:v>
                </c:pt>
                <c:pt idx="1">
                  <c:v>0.1076923076923077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49-4C7E-B52D-898771BAC5C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2ED-4629-9068-53A5E281BA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2ED-4629-9068-53A5E281BA9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2ED-4629-9068-53A5E281BA9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2ED-4629-9068-53A5E281BA9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(2)'!$G$347,'Template (2)'!$G$363)</c:f>
              <c:numCache>
                <c:formatCode>_("$"* #,##0.00_);_("$"* \(#,##0.00\);_("$"* "-"??_);_(@_)</c:formatCode>
                <c:ptCount val="2"/>
                <c:pt idx="0">
                  <c:v>2560</c:v>
                </c:pt>
                <c:pt idx="1">
                  <c:v>612</c:v>
                </c:pt>
              </c:numCache>
            </c:numRef>
          </c:cat>
          <c:val>
            <c:numRef>
              <c:f>('Template (2)'!$H$347,'Template (2)'!$H$363)</c:f>
              <c:numCache>
                <c:formatCode>0.00%</c:formatCode>
                <c:ptCount val="2"/>
                <c:pt idx="0">
                  <c:v>0.80706179066834804</c:v>
                </c:pt>
                <c:pt idx="1">
                  <c:v>0.19293820933165196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ED-4629-9068-53A5E281BA9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94-4080-8022-D4736321785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94-4080-8022-D4736321785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A94-4080-8022-D4736321785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A94-4080-8022-D47363217852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(2)'!$G$372,'Template (2)'!$G$388)</c:f>
              <c:numCache>
                <c:formatCode>_("$"* #,##0.00_);_("$"* \(#,##0.00\);_("$"* "-"??_);_(@_)</c:formatCode>
                <c:ptCount val="2"/>
                <c:pt idx="0">
                  <c:v>2680</c:v>
                </c:pt>
                <c:pt idx="1">
                  <c:v>388</c:v>
                </c:pt>
              </c:numCache>
            </c:numRef>
          </c:cat>
          <c:val>
            <c:numRef>
              <c:f>('Template (2)'!$H$372,'Template (2)'!$H$388)</c:f>
              <c:numCache>
                <c:formatCode>0.00%</c:formatCode>
                <c:ptCount val="2"/>
                <c:pt idx="0">
                  <c:v>0.87353324641460239</c:v>
                </c:pt>
                <c:pt idx="1">
                  <c:v>0.12646675358539766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94-4080-8022-D4736321785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86-4C10-898C-8C363F297B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86-4C10-898C-8C363F297B7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E86-4C10-898C-8C363F297B7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E86-4C10-898C-8C363F297B7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(2)'!$G$397,'Template (2)'!$G$413)</c:f>
              <c:numCache>
                <c:formatCode>_("$"* #,##0.00_);_("$"* \(#,##0.00\);_("$"* "-"??_);_(@_)</c:formatCode>
                <c:ptCount val="2"/>
                <c:pt idx="0">
                  <c:v>3000</c:v>
                </c:pt>
                <c:pt idx="1">
                  <c:v>2000</c:v>
                </c:pt>
              </c:numCache>
            </c:numRef>
          </c:cat>
          <c:val>
            <c:numRef>
              <c:f>('Template (2)'!$H$397,'Template (2)'!$H$413)</c:f>
              <c:numCache>
                <c:formatCode>0.00%</c:formatCode>
                <c:ptCount val="2"/>
                <c:pt idx="0">
                  <c:v>0.6</c:v>
                </c:pt>
                <c:pt idx="1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86-4C10-898C-8C363F297B7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464-468A-8B7C-C5E8339B2F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464-468A-8B7C-C5E8339B2F9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464-468A-8B7C-C5E8339B2F9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7464-468A-8B7C-C5E8339B2F9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(2)'!$G$422,'Template (2)'!$G$438)</c:f>
              <c:numCache>
                <c:formatCode>_("$"* #,##0.00_);_("$"* \(#,##0.00\);_("$"* "-"??_);_(@_)</c:formatCode>
                <c:ptCount val="2"/>
                <c:pt idx="0">
                  <c:v>3500</c:v>
                </c:pt>
                <c:pt idx="1">
                  <c:v>4178</c:v>
                </c:pt>
              </c:numCache>
            </c:numRef>
          </c:cat>
          <c:val>
            <c:numRef>
              <c:f>('Template (2)'!$H$422,'Template (2)'!$H$438)</c:f>
              <c:numCache>
                <c:formatCode>0.00%</c:formatCode>
                <c:ptCount val="2"/>
                <c:pt idx="0">
                  <c:v>0.45584787705131546</c:v>
                </c:pt>
                <c:pt idx="1">
                  <c:v>0.54415212294868454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64-468A-8B7C-C5E8339B2F9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74-4DF2-B15B-4C6AE6C14B9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74-4DF2-B15B-4C6AE6C14B9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B174-4DF2-B15B-4C6AE6C14B9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174-4DF2-B15B-4C6AE6C14B9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(2)'!$G$447,'Template (2)'!$G$463)</c:f>
              <c:numCache>
                <c:formatCode>_("$"* #,##0.00_);_("$"* \(#,##0.00\);_("$"* "-"??_);_(@_)</c:formatCode>
                <c:ptCount val="2"/>
                <c:pt idx="0">
                  <c:v>1200</c:v>
                </c:pt>
                <c:pt idx="1">
                  <c:v>500</c:v>
                </c:pt>
              </c:numCache>
            </c:numRef>
          </c:cat>
          <c:val>
            <c:numRef>
              <c:f>('Template (2)'!$H$447,'Template (2)'!$H$463)</c:f>
              <c:numCache>
                <c:formatCode>0.00%</c:formatCode>
                <c:ptCount val="2"/>
                <c:pt idx="0">
                  <c:v>0.70588235294117652</c:v>
                </c:pt>
                <c:pt idx="1">
                  <c:v>0.29411764705882354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74-4DF2-B15B-4C6AE6C14B9F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12-45C2-8A91-EEA4AE3BBB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12-45C2-8A91-EEA4AE3BBB7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812-45C2-8A91-EEA4AE3BBB7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812-45C2-8A91-EEA4AE3BBB7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(2)'!$G$472,'Template (2)'!$G$488)</c:f>
              <c:numCache>
                <c:formatCode>_("$"* #,##0.00_);_("$"* \(#,##0.00\);_("$"* "-"??_);_(@_)</c:formatCode>
                <c:ptCount val="2"/>
                <c:pt idx="0">
                  <c:v>1500</c:v>
                </c:pt>
                <c:pt idx="1">
                  <c:v>2000</c:v>
                </c:pt>
              </c:numCache>
            </c:numRef>
          </c:cat>
          <c:val>
            <c:numRef>
              <c:f>('Template (2)'!$H$472,'Template (2)'!$H$488)</c:f>
              <c:numCache>
                <c:formatCode>0.00%</c:formatCode>
                <c:ptCount val="2"/>
                <c:pt idx="0">
                  <c:v>0.42857142857142855</c:v>
                </c:pt>
                <c:pt idx="1">
                  <c:v>0.5714285714285714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12-45C2-8A91-EEA4AE3BBB7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D79-4B2F-8BB2-0DD9377CB43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D79-4B2F-8BB2-0DD9377CB43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D79-4B2F-8BB2-0DD9377CB43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D79-4B2F-8BB2-0DD9377CB43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(2)'!$G$497,'Template (2)'!$G$513)</c:f>
              <c:numCache>
                <c:formatCode>_("$"* #,##0.00_);_("$"* \(#,##0.00\);_("$"* "-"??_);_(@_)</c:formatCode>
                <c:ptCount val="2"/>
                <c:pt idx="0">
                  <c:v>1890</c:v>
                </c:pt>
                <c:pt idx="1">
                  <c:v>2250</c:v>
                </c:pt>
              </c:numCache>
            </c:numRef>
          </c:cat>
          <c:val>
            <c:numRef>
              <c:f>('Template (2)'!$H$497,'Template (2)'!$H$513)</c:f>
              <c:numCache>
                <c:formatCode>0.00%</c:formatCode>
                <c:ptCount val="2"/>
                <c:pt idx="0">
                  <c:v>0.45652173913043476</c:v>
                </c:pt>
                <c:pt idx="1">
                  <c:v>0.54347826086956519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79-4B2F-8BB2-0DD9377CB43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275-4F66-8D62-C529DEDE5E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275-4F66-8D62-C529DEDE5EF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6275-4F66-8D62-C529DEDE5EF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6275-4F66-8D62-C529DEDE5EF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(2)'!$G$522,'Template (2)'!$G$538)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('Template (2)'!$H$522,'Template (2)'!$H$538)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75-4F66-8D62-C529DEDE5EF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128-4B3A-89BC-7A23CE5A79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128-4B3A-89BC-7A23CE5A79B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128-4B3A-89BC-7A23CE5A79B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128-4B3A-89BC-7A23CE5A79B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(2)'!$G$547,'Template (2)'!$G$563)</c:f>
              <c:numCache>
                <c:formatCode>_("$"* #,##0.00_);_("$"* \(#,##0.00\);_("$"* "-"??_);_(@_)</c:formatCode>
                <c:ptCount val="2"/>
                <c:pt idx="0">
                  <c:v>1000</c:v>
                </c:pt>
                <c:pt idx="1">
                  <c:v>1055</c:v>
                </c:pt>
              </c:numCache>
            </c:numRef>
          </c:cat>
          <c:val>
            <c:numRef>
              <c:f>('Template (2)'!$H$547,'Template (2)'!$H$563)</c:f>
              <c:numCache>
                <c:formatCode>0.00%</c:formatCode>
                <c:ptCount val="2"/>
                <c:pt idx="0">
                  <c:v>0.48661800486618007</c:v>
                </c:pt>
                <c:pt idx="1">
                  <c:v>0.51338199513381999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28-4B3A-89BC-7A23CE5A79B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5AD-407A-A373-E93915BA9D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5AD-407A-A373-E93915BA9DF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F5AD-407A-A373-E93915BA9DF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5AD-407A-A373-E93915BA9DF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('Template (2)'!$G$222,'Template (2)'!$G$238)</c:f>
              <c:numCache>
                <c:formatCode>_("$"* #,##0.00_);_("$"* \(#,##0.00\);_("$"* "-"??_);_(@_)</c:formatCode>
                <c:ptCount val="2"/>
                <c:pt idx="0">
                  <c:v>4603</c:v>
                </c:pt>
                <c:pt idx="1">
                  <c:v>4227</c:v>
                </c:pt>
              </c:numCache>
            </c:numRef>
          </c:cat>
          <c:val>
            <c:numRef>
              <c:f>('Template (2)'!$H$222,'Template (2)'!$H$238)</c:f>
              <c:numCache>
                <c:formatCode>0.00%</c:formatCode>
                <c:ptCount val="2"/>
                <c:pt idx="0">
                  <c:v>0.52129105322763303</c:v>
                </c:pt>
                <c:pt idx="1">
                  <c:v>0.47870894677236692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AD-407A-A373-E93915BA9DF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Expense Allocation Result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7A7-425A-B3BA-4AF13C0768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7A7-425A-B3BA-4AF13C0768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7A7-425A-B3BA-4AF13C0768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7A7-425A-B3BA-4AF13C0768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7A7-425A-B3BA-4AF13C0768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7A7-425A-B3BA-4AF13C0768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7A7-425A-B3BA-4AF13C0768A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7A7-425A-B3BA-4AF13C0768A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7A7-425A-B3BA-4AF13C0768A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7A7-425A-B3BA-4AF13C0768A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7A7-425A-B3BA-4AF13C0768A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7A7-425A-B3BA-4AF13C0768A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7A7-425A-B3BA-4AF13C0768A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7A7-425A-B3BA-4AF13C0768A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57A7-425A-B3BA-4AF13C0768A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57A7-425A-B3BA-4AF13C0768A2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57A7-425A-B3BA-4AF13C0768A2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57A7-425A-B3BA-4AF13C0768A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7A7-425A-B3BA-4AF13C0768A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7A7-425A-B3BA-4AF13C0768A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57A7-425A-B3BA-4AF13C0768A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57A7-425A-B3BA-4AF13C0768A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57A7-425A-B3BA-4AF13C0768A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57A7-425A-B3BA-4AF13C0768A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57A7-425A-B3BA-4AF13C0768A2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57A7-425A-B3BA-4AF13C0768A2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57A7-425A-B3BA-4AF13C0768A2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57A7-425A-B3BA-4AF13C0768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57A7-425A-B3BA-4AF13C0768A2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7-57A7-425A-B3BA-4AF13C0768A2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9-57A7-425A-B3BA-4AF13C0768A2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B-57A7-425A-B3BA-4AF13C0768A2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D-57A7-425A-B3BA-4AF13C0768A2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F-57A7-425A-B3BA-4AF13C0768A2}"/>
                </c:ext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1-57A7-425A-B3BA-4AF13C0768A2}"/>
                </c:ext>
              </c:extLst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3-57A7-425A-B3BA-4AF13C0768A2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Result!$B$3:$B$20</c:f>
              <c:strCache>
                <c:ptCount val="18"/>
                <c:pt idx="0">
                  <c:v>Demolition</c:v>
                </c:pt>
                <c:pt idx="1">
                  <c:v>Framing</c:v>
                </c:pt>
                <c:pt idx="2">
                  <c:v>Drywall, tape&amp;mudding</c:v>
                </c:pt>
                <c:pt idx="3">
                  <c:v>Painting</c:v>
                </c:pt>
                <c:pt idx="4">
                  <c:v>Finish Carpentry</c:v>
                </c:pt>
                <c:pt idx="5">
                  <c:v>Kitchen cabinet</c:v>
                </c:pt>
                <c:pt idx="6">
                  <c:v>Bathroom</c:v>
                </c:pt>
                <c:pt idx="7">
                  <c:v>Floorinng, tiling</c:v>
                </c:pt>
                <c:pt idx="8">
                  <c:v>HVAC</c:v>
                </c:pt>
                <c:pt idx="9">
                  <c:v>Electriccal</c:v>
                </c:pt>
                <c:pt idx="10">
                  <c:v>Plumbing</c:v>
                </c:pt>
                <c:pt idx="11">
                  <c:v>Landscaping</c:v>
                </c:pt>
                <c:pt idx="12">
                  <c:v>Siding</c:v>
                </c:pt>
                <c:pt idx="13">
                  <c:v>Painting</c:v>
                </c:pt>
                <c:pt idx="14">
                  <c:v>Deck</c:v>
                </c:pt>
                <c:pt idx="15">
                  <c:v>Fence</c:v>
                </c:pt>
                <c:pt idx="16">
                  <c:v>Driveway</c:v>
                </c:pt>
                <c:pt idx="17">
                  <c:v>Roofing</c:v>
                </c:pt>
              </c:strCache>
            </c:strRef>
          </c:cat>
          <c:val>
            <c:numRef>
              <c:f>Result!$E$3:$E$20</c:f>
              <c:numCache>
                <c:formatCode>_("$"* #,##0.00_);_("$"* \(#,##0.00\);_("$"* "-"??_);_(@_)</c:formatCode>
                <c:ptCount val="18"/>
                <c:pt idx="0">
                  <c:v>3650</c:v>
                </c:pt>
                <c:pt idx="1">
                  <c:v>10208</c:v>
                </c:pt>
                <c:pt idx="2">
                  <c:v>6316</c:v>
                </c:pt>
                <c:pt idx="3">
                  <c:v>2832</c:v>
                </c:pt>
                <c:pt idx="4">
                  <c:v>8830</c:v>
                </c:pt>
                <c:pt idx="5">
                  <c:v>18560</c:v>
                </c:pt>
                <c:pt idx="6">
                  <c:v>5778</c:v>
                </c:pt>
                <c:pt idx="7">
                  <c:v>9178</c:v>
                </c:pt>
                <c:pt idx="8">
                  <c:v>3250</c:v>
                </c:pt>
                <c:pt idx="9">
                  <c:v>3172</c:v>
                </c:pt>
                <c:pt idx="10">
                  <c:v>3068</c:v>
                </c:pt>
                <c:pt idx="11">
                  <c:v>5000</c:v>
                </c:pt>
                <c:pt idx="12">
                  <c:v>7678</c:v>
                </c:pt>
                <c:pt idx="13">
                  <c:v>1700</c:v>
                </c:pt>
                <c:pt idx="14">
                  <c:v>3500</c:v>
                </c:pt>
                <c:pt idx="15">
                  <c:v>4140</c:v>
                </c:pt>
                <c:pt idx="16">
                  <c:v>0</c:v>
                </c:pt>
                <c:pt idx="17">
                  <c:v>2055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7A7-425A-B3BA-4AF13C0768A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57A7-425A-B3BA-4AF13C0768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8-57A7-425A-B3BA-4AF13C0768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A-57A7-425A-B3BA-4AF13C0768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C-57A7-425A-B3BA-4AF13C0768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E-57A7-425A-B3BA-4AF13C0768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0-57A7-425A-B3BA-4AF13C0768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2-57A7-425A-B3BA-4AF13C0768A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4-57A7-425A-B3BA-4AF13C0768A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6-57A7-425A-B3BA-4AF13C0768A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8-57A7-425A-B3BA-4AF13C0768A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A-57A7-425A-B3BA-4AF13C0768A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57A7-425A-B3BA-4AF13C0768A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57A7-425A-B3BA-4AF13C0768A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57A7-425A-B3BA-4AF13C0768A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57A7-425A-B3BA-4AF13C0768A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57A7-425A-B3BA-4AF13C0768A2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6-57A7-425A-B3BA-4AF13C0768A2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8-57A7-425A-B3BA-4AF13C0768A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6-57A7-425A-B3BA-4AF13C0768A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8-57A7-425A-B3BA-4AF13C0768A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A-57A7-425A-B3BA-4AF13C0768A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C-57A7-425A-B3BA-4AF13C0768A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E-57A7-425A-B3BA-4AF13C0768A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0-57A7-425A-B3BA-4AF13C0768A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2-57A7-425A-B3BA-4AF13C0768A2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4-57A7-425A-B3BA-4AF13C0768A2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6-57A7-425A-B3BA-4AF13C0768A2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8-57A7-425A-B3BA-4AF13C0768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A-57A7-425A-B3BA-4AF13C0768A2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C-57A7-425A-B3BA-4AF13C0768A2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E-57A7-425A-B3BA-4AF13C0768A2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0-57A7-425A-B3BA-4AF13C0768A2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2-57A7-425A-B3BA-4AF13C0768A2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4-57A7-425A-B3BA-4AF13C0768A2}"/>
                </c:ext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6-57A7-425A-B3BA-4AF13C0768A2}"/>
                </c:ext>
              </c:extLst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8-57A7-425A-B3BA-4AF13C0768A2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Result!$B$3:$B$20</c:f>
              <c:strCache>
                <c:ptCount val="18"/>
                <c:pt idx="0">
                  <c:v>Demolition</c:v>
                </c:pt>
                <c:pt idx="1">
                  <c:v>Framing</c:v>
                </c:pt>
                <c:pt idx="2">
                  <c:v>Drywall, tape&amp;mudding</c:v>
                </c:pt>
                <c:pt idx="3">
                  <c:v>Painting</c:v>
                </c:pt>
                <c:pt idx="4">
                  <c:v>Finish Carpentry</c:v>
                </c:pt>
                <c:pt idx="5">
                  <c:v>Kitchen cabinet</c:v>
                </c:pt>
                <c:pt idx="6">
                  <c:v>Bathroom</c:v>
                </c:pt>
                <c:pt idx="7">
                  <c:v>Floorinng, tiling</c:v>
                </c:pt>
                <c:pt idx="8">
                  <c:v>HVAC</c:v>
                </c:pt>
                <c:pt idx="9">
                  <c:v>Electriccal</c:v>
                </c:pt>
                <c:pt idx="10">
                  <c:v>Plumbing</c:v>
                </c:pt>
                <c:pt idx="11">
                  <c:v>Landscaping</c:v>
                </c:pt>
                <c:pt idx="12">
                  <c:v>Siding</c:v>
                </c:pt>
                <c:pt idx="13">
                  <c:v>Painting</c:v>
                </c:pt>
                <c:pt idx="14">
                  <c:v>Deck</c:v>
                </c:pt>
                <c:pt idx="15">
                  <c:v>Fence</c:v>
                </c:pt>
                <c:pt idx="16">
                  <c:v>Driveway</c:v>
                </c:pt>
                <c:pt idx="17">
                  <c:v>Roofing</c:v>
                </c:pt>
              </c:strCache>
            </c:strRef>
          </c:cat>
          <c:val>
            <c:numRef>
              <c:f>Result!$F$3:$F$20</c:f>
              <c:numCache>
                <c:formatCode>0.00%</c:formatCode>
                <c:ptCount val="18"/>
                <c:pt idx="0">
                  <c:v>3.6900369003690037E-2</c:v>
                </c:pt>
                <c:pt idx="1">
                  <c:v>0.10319971692867613</c:v>
                </c:pt>
                <c:pt idx="2">
                  <c:v>6.3852802911590761E-2</c:v>
                </c:pt>
                <c:pt idx="3">
                  <c:v>2.8630642470808269E-2</c:v>
                </c:pt>
                <c:pt idx="4">
                  <c:v>8.9268563918515897E-2</c:v>
                </c:pt>
                <c:pt idx="5">
                  <c:v>0.18763584896122934</c:v>
                </c:pt>
                <c:pt idx="6">
                  <c:v>5.8413789617348229E-2</c:v>
                </c:pt>
                <c:pt idx="7">
                  <c:v>9.2786736086538951E-2</c:v>
                </c:pt>
                <c:pt idx="8">
                  <c:v>3.2856492948491127E-2</c:v>
                </c:pt>
                <c:pt idx="9">
                  <c:v>3.206793711772734E-2</c:v>
                </c:pt>
                <c:pt idx="10">
                  <c:v>3.1016529343375624E-2</c:v>
                </c:pt>
                <c:pt idx="11">
                  <c:v>5.0548450689986354E-2</c:v>
                </c:pt>
                <c:pt idx="12">
                  <c:v>7.7622200879543038E-2</c:v>
                </c:pt>
                <c:pt idx="13">
                  <c:v>1.7186473234595361E-2</c:v>
                </c:pt>
                <c:pt idx="14">
                  <c:v>3.5383915482990448E-2</c:v>
                </c:pt>
                <c:pt idx="15">
                  <c:v>4.18541171713087E-2</c:v>
                </c:pt>
                <c:pt idx="16">
                  <c:v>0</c:v>
                </c:pt>
                <c:pt idx="17">
                  <c:v>2.0775413233584391E-2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57A7-425A-B3BA-4AF13C0768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Labour:Materials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Labour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D31-4814-BE91-A2569D5A565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D31-4814-BE91-A2569D5A565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4D31-4814-BE91-A2569D5A565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4D31-4814-BE91-A2569D5A565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(Template!$G$122,Template!$G$138)</c:f>
              <c:numCache>
                <c:formatCode>_("$"* #,##0.00_);_("$"* \(#,##0.00\);_("$"* "-"??_);_(@_)</c:formatCode>
                <c:ptCount val="2"/>
                <c:pt idx="0">
                  <c:v>3000</c:v>
                </c:pt>
                <c:pt idx="1">
                  <c:v>650</c:v>
                </c:pt>
              </c:numCache>
            </c:numRef>
          </c:cat>
          <c:val>
            <c:numRef>
              <c:f>(Template!$H$122,Template!$H$138)</c:f>
              <c:numCache>
                <c:formatCode>0.00%</c:formatCode>
                <c:ptCount val="2"/>
                <c:pt idx="0">
                  <c:v>0.82191780821917804</c:v>
                </c:pt>
                <c:pt idx="1">
                  <c:v>0.17808219178082191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1-4814-BE91-A2569D5A565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tx>
                  <c:v>Materials</c:v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6-4D31-4814-BE91-A2569D5A5656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xmlns:c16="http://schemas.microsoft.com/office/drawing/2014/chart" uri="{C3380CC4-5D6E-409C-BE32-E72D297353CC}">
                        <c16:uniqueId val="{00000006-4D31-4814-BE91-A2569D5A5656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03-4D31-4814-BE91-A2569D5A5656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7D8-4B41-BB1F-1533FB872D3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C7D8-4B41-BB1F-1533FB872D3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7D8-4B41-BB1F-1533FB872D3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C7D8-4B41-BB1F-1533FB872D3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(Template!$G$147,Template!$G$163)</c:f>
              <c:numCache>
                <c:formatCode>_("$"* #,##0.00_);_("$"* \(#,##0.00\);_("$"* "-"??_);_(@_)</c:formatCode>
                <c:ptCount val="2"/>
                <c:pt idx="0">
                  <c:v>4034</c:v>
                </c:pt>
                <c:pt idx="1">
                  <c:v>6174</c:v>
                </c:pt>
              </c:numCache>
            </c:numRef>
          </c:cat>
          <c:val>
            <c:numRef>
              <c:f>(Template!$H$147,Template!$H$163)</c:f>
              <c:numCache>
                <c:formatCode>0.00%</c:formatCode>
                <c:ptCount val="2"/>
                <c:pt idx="0">
                  <c:v>0.39518025078369906</c:v>
                </c:pt>
                <c:pt idx="1">
                  <c:v>0.60481974921630099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8-4B41-BB1F-1533FB872D3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16-4072-8F9C-3CCB579952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D16-4072-8F9C-3CCB579952A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D16-4072-8F9C-3CCB579952A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AD16-4072-8F9C-3CCB579952A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(Template!$G$172,Template!$G$188)</c:f>
              <c:numCache>
                <c:formatCode>_("$"* #,##0.00_);_("$"* \(#,##0.00\);_("$"* "-"??_);_(@_)</c:formatCode>
                <c:ptCount val="2"/>
                <c:pt idx="0">
                  <c:v>2560</c:v>
                </c:pt>
                <c:pt idx="1">
                  <c:v>3756</c:v>
                </c:pt>
              </c:numCache>
            </c:numRef>
          </c:cat>
          <c:val>
            <c:numRef>
              <c:f>(Template!$H$172,Template!$H$188)</c:f>
              <c:numCache>
                <c:formatCode>0.00%</c:formatCode>
                <c:ptCount val="2"/>
                <c:pt idx="0">
                  <c:v>0.4053198226725776</c:v>
                </c:pt>
                <c:pt idx="1">
                  <c:v>0.5946801773274224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16-4072-8F9C-3CCB579952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DB-4688-B7E3-7080B70160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EDB-4688-B7E3-7080B701600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DEDB-4688-B7E3-7080B701600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DEDB-4688-B7E3-7080B701600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(Template!$G$197,Template!$G$213)</c:f>
              <c:numCache>
                <c:formatCode>_("$"* #,##0.00_);_("$"* \(#,##0.00\);_("$"* "-"??_);_(@_)</c:formatCode>
                <c:ptCount val="2"/>
                <c:pt idx="0">
                  <c:v>2040</c:v>
                </c:pt>
                <c:pt idx="1">
                  <c:v>792</c:v>
                </c:pt>
              </c:numCache>
            </c:numRef>
          </c:cat>
          <c:val>
            <c:numRef>
              <c:f>(Template!$H$197,Template!$H$213)</c:f>
              <c:numCache>
                <c:formatCode>0.00%</c:formatCode>
                <c:ptCount val="2"/>
                <c:pt idx="0">
                  <c:v>0.72033898305084743</c:v>
                </c:pt>
                <c:pt idx="1">
                  <c:v>0.27966101694915252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DB-4688-B7E3-7080B701600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9C6-46D4-B044-F156A2EA5F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9C6-46D4-B044-F156A2EA5F2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9C6-46D4-B044-F156A2EA5F2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9C6-46D4-B044-F156A2EA5F2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(Template!$G$247,Template!$G$263)</c:f>
              <c:numCache>
                <c:formatCode>_("$"* #,##0.00_);_("$"* \(#,##0.00\);_("$"* "-"??_);_(@_)</c:formatCode>
                <c:ptCount val="2"/>
                <c:pt idx="0">
                  <c:v>6560</c:v>
                </c:pt>
                <c:pt idx="1">
                  <c:v>12000</c:v>
                </c:pt>
              </c:numCache>
            </c:numRef>
          </c:cat>
          <c:val>
            <c:numRef>
              <c:f>(Template!$H$247,Template!$H$263)</c:f>
              <c:numCache>
                <c:formatCode>0.00%</c:formatCode>
                <c:ptCount val="2"/>
                <c:pt idx="0">
                  <c:v>0.35344827586206895</c:v>
                </c:pt>
                <c:pt idx="1">
                  <c:v>0.64655172413793105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6-46D4-B044-F156A2EA5F2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568-4427-A3D7-6E460D8543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568-4427-A3D7-6E460D8543A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9568-4427-A3D7-6E460D8543A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9568-4427-A3D7-6E460D8543A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(Template!$G$272,Template!$G$288)</c:f>
              <c:numCache>
                <c:formatCode>_("$"* #,##0.00_);_("$"* \(#,##0.00\);_("$"* "-"??_);_(@_)</c:formatCode>
                <c:ptCount val="2"/>
                <c:pt idx="0">
                  <c:v>3260</c:v>
                </c:pt>
                <c:pt idx="1">
                  <c:v>2518</c:v>
                </c:pt>
              </c:numCache>
            </c:numRef>
          </c:cat>
          <c:val>
            <c:numRef>
              <c:f>(Template!$H$272,Template!$H$288)</c:f>
              <c:numCache>
                <c:formatCode>0.00%</c:formatCode>
                <c:ptCount val="2"/>
                <c:pt idx="0">
                  <c:v>0.56420906888196609</c:v>
                </c:pt>
                <c:pt idx="1">
                  <c:v>0.43579093111803391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8-4427-A3D7-6E460D8543A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93-4A51-809F-5EE8BBE8956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E93-4A51-809F-5EE8BBE8956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E93-4A51-809F-5EE8BBE8956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8E93-4A51-809F-5EE8BBE8956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(Template!$G$297,Template!$G$313)</c:f>
              <c:numCache>
                <c:formatCode>_("$"* #,##0.00_);_("$"* \(#,##0.00\);_("$"* "-"??_);_(@_)</c:formatCode>
                <c:ptCount val="2"/>
                <c:pt idx="0">
                  <c:v>3500</c:v>
                </c:pt>
                <c:pt idx="1">
                  <c:v>5678</c:v>
                </c:pt>
              </c:numCache>
            </c:numRef>
          </c:cat>
          <c:val>
            <c:numRef>
              <c:f>(Template!$H$297,Template!$H$313)</c:f>
              <c:numCache>
                <c:formatCode>0.00%</c:formatCode>
                <c:ptCount val="2"/>
                <c:pt idx="0">
                  <c:v>0.38134669862715187</c:v>
                </c:pt>
                <c:pt idx="1">
                  <c:v>0.61865330137284813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93-4A51-809F-5EE8BBE8956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199-44DC-8A0D-BACA0106DA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199-44DC-8A0D-BACA0106DA9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199-44DC-8A0D-BACA0106DA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8199-44DC-8A0D-BACA0106DA9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(Template!$G$322,Template!$G$338)</c:f>
              <c:numCache>
                <c:formatCode>_("$"* #,##0.00_);_("$"* \(#,##0.00\);_("$"* "-"??_);_(@_)</c:formatCode>
                <c:ptCount val="2"/>
                <c:pt idx="0">
                  <c:v>2900</c:v>
                </c:pt>
                <c:pt idx="1">
                  <c:v>350</c:v>
                </c:pt>
              </c:numCache>
            </c:numRef>
          </c:cat>
          <c:val>
            <c:numRef>
              <c:f>(Template!$H$322,Template!$H$338)</c:f>
              <c:numCache>
                <c:formatCode>0.00%</c:formatCode>
                <c:ptCount val="2"/>
                <c:pt idx="0">
                  <c:v>0.89230769230769236</c:v>
                </c:pt>
                <c:pt idx="1">
                  <c:v>0.1076923076923077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9-44DC-8A0D-BACA0106DA9B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589-4BBC-B021-01F0ED6D47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589-4BBC-B021-01F0ED6D475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9589-4BBC-B021-01F0ED6D475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9589-4BBC-B021-01F0ED6D475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(Template!$G$347,Template!$G$363)</c:f>
              <c:numCache>
                <c:formatCode>_("$"* #,##0.00_);_("$"* \(#,##0.00\);_("$"* "-"??_);_(@_)</c:formatCode>
                <c:ptCount val="2"/>
                <c:pt idx="0">
                  <c:v>2560</c:v>
                </c:pt>
                <c:pt idx="1">
                  <c:v>612</c:v>
                </c:pt>
              </c:numCache>
            </c:numRef>
          </c:cat>
          <c:val>
            <c:numRef>
              <c:f>(Template!$H$347,Template!$H$363)</c:f>
              <c:numCache>
                <c:formatCode>0.00%</c:formatCode>
                <c:ptCount val="2"/>
                <c:pt idx="0">
                  <c:v>0.80706179066834804</c:v>
                </c:pt>
                <c:pt idx="1">
                  <c:v>0.19293820933165196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89-4BBC-B021-01F0ED6D475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841-42B6-9D15-CBCE2992256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6841-42B6-9D15-CBCE2992256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6841-42B6-9D15-CBCE2992256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6841-42B6-9D15-CBCE2992256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(Template!$G$372,Template!$G$388)</c:f>
              <c:numCache>
                <c:formatCode>_("$"* #,##0.00_);_("$"* \(#,##0.00\);_("$"* "-"??_);_(@_)</c:formatCode>
                <c:ptCount val="2"/>
                <c:pt idx="0">
                  <c:v>2680</c:v>
                </c:pt>
                <c:pt idx="1">
                  <c:v>388</c:v>
                </c:pt>
              </c:numCache>
            </c:numRef>
          </c:cat>
          <c:val>
            <c:numRef>
              <c:f>(Template!$H$372,Template!$H$388)</c:f>
              <c:numCache>
                <c:formatCode>0.00%</c:formatCode>
                <c:ptCount val="2"/>
                <c:pt idx="0">
                  <c:v>0.87353324641460239</c:v>
                </c:pt>
                <c:pt idx="1">
                  <c:v>0.12646675358539766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41-42B6-9D15-CBCE2992256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93D-4B7A-BB25-3EDBB07BA5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93D-4B7A-BB25-3EDBB07BA54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93D-4B7A-BB25-3EDBB07BA54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B93D-4B7A-BB25-3EDBB07BA54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(Template!$G$397,Template!$G$413)</c:f>
              <c:numCache>
                <c:formatCode>_("$"* #,##0.00_);_("$"* \(#,##0.00\);_("$"* "-"??_);_(@_)</c:formatCode>
                <c:ptCount val="2"/>
                <c:pt idx="0">
                  <c:v>3000</c:v>
                </c:pt>
                <c:pt idx="1">
                  <c:v>2000</c:v>
                </c:pt>
              </c:numCache>
            </c:numRef>
          </c:cat>
          <c:val>
            <c:numRef>
              <c:f>(Template!$H$397,Template!$H$413)</c:f>
              <c:numCache>
                <c:formatCode>0.00%</c:formatCode>
                <c:ptCount val="2"/>
                <c:pt idx="0">
                  <c:v>0.6</c:v>
                </c:pt>
                <c:pt idx="1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D-4B7A-BB25-3EDBB07BA54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E2F-496C-866E-179C26D6AB3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EE2F-496C-866E-179C26D6AB3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EE2F-496C-866E-179C26D6AB3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EE2F-496C-866E-179C26D6AB3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(Template!$G$422,Template!$G$438)</c:f>
              <c:numCache>
                <c:formatCode>_("$"* #,##0.00_);_("$"* \(#,##0.00\);_("$"* "-"??_);_(@_)</c:formatCode>
                <c:ptCount val="2"/>
                <c:pt idx="0">
                  <c:v>3500</c:v>
                </c:pt>
                <c:pt idx="1">
                  <c:v>4178</c:v>
                </c:pt>
              </c:numCache>
            </c:numRef>
          </c:cat>
          <c:val>
            <c:numRef>
              <c:f>(Template!$H$422,Template!$H$438)</c:f>
              <c:numCache>
                <c:formatCode>0.00%</c:formatCode>
                <c:ptCount val="2"/>
                <c:pt idx="0">
                  <c:v>0.45584787705131546</c:v>
                </c:pt>
                <c:pt idx="1">
                  <c:v>0.54415212294868454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F-496C-866E-179C26D6AB3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495-4DAF-B55A-3C50060DA6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495-4DAF-B55A-3C50060DA62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495-4DAF-B55A-3C50060DA62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A495-4DAF-B55A-3C50060DA62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(Template!$G$447,Template!$G$463)</c:f>
              <c:numCache>
                <c:formatCode>_("$"* #,##0.00_);_("$"* \(#,##0.00\);_("$"* "-"??_);_(@_)</c:formatCode>
                <c:ptCount val="2"/>
                <c:pt idx="0">
                  <c:v>1200</c:v>
                </c:pt>
                <c:pt idx="1">
                  <c:v>500</c:v>
                </c:pt>
              </c:numCache>
            </c:numRef>
          </c:cat>
          <c:val>
            <c:numRef>
              <c:f>(Template!$H$447,Template!$H$463)</c:f>
              <c:numCache>
                <c:formatCode>0.00%</c:formatCode>
                <c:ptCount val="2"/>
                <c:pt idx="0">
                  <c:v>0.70588235294117652</c:v>
                </c:pt>
                <c:pt idx="1">
                  <c:v>0.29411764705882354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95-4DAF-B55A-3C50060DA62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24F-495B-9CA1-370DE1DA5C0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624F-495B-9CA1-370DE1DA5C0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624F-495B-9CA1-370DE1DA5C0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624F-495B-9CA1-370DE1DA5C0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(Template!$G$472,Template!$G$488)</c:f>
              <c:numCache>
                <c:formatCode>_("$"* #,##0.00_);_("$"* \(#,##0.00\);_("$"* "-"??_);_(@_)</c:formatCode>
                <c:ptCount val="2"/>
                <c:pt idx="0">
                  <c:v>1500</c:v>
                </c:pt>
                <c:pt idx="1">
                  <c:v>2000</c:v>
                </c:pt>
              </c:numCache>
            </c:numRef>
          </c:cat>
          <c:val>
            <c:numRef>
              <c:f>(Template!$H$472,Template!$H$488)</c:f>
              <c:numCache>
                <c:formatCode>0.00%</c:formatCode>
                <c:ptCount val="2"/>
                <c:pt idx="0">
                  <c:v>0.42857142857142855</c:v>
                </c:pt>
                <c:pt idx="1">
                  <c:v>0.5714285714285714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F-495B-9CA1-370DE1DA5C0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5CF-4BB0-B1A1-FB86C962EA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C5CF-4BB0-B1A1-FB86C962EAD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5CF-4BB0-B1A1-FB86C962EAD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C5CF-4BB0-B1A1-FB86C962EAD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(Template!$G$497,Template!$G$513)</c:f>
              <c:numCache>
                <c:formatCode>_("$"* #,##0.00_);_("$"* \(#,##0.00\);_("$"* "-"??_);_(@_)</c:formatCode>
                <c:ptCount val="2"/>
                <c:pt idx="0">
                  <c:v>1890</c:v>
                </c:pt>
                <c:pt idx="1">
                  <c:v>2250</c:v>
                </c:pt>
              </c:numCache>
            </c:numRef>
          </c:cat>
          <c:val>
            <c:numRef>
              <c:f>(Template!$H$497,Template!$H$513)</c:f>
              <c:numCache>
                <c:formatCode>0.00%</c:formatCode>
                <c:ptCount val="2"/>
                <c:pt idx="0">
                  <c:v>0.45652173913043476</c:v>
                </c:pt>
                <c:pt idx="1">
                  <c:v>0.54347826086956519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F-4BB0-B1A1-FB86C962EAD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BA2-4AFE-BAE2-B639499E7E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BA2-4AFE-BAE2-B639499E7E2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BA2-4AFE-BAE2-B639499E7E2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ABA2-4AFE-BAE2-B639499E7E2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(Template!$G$522,Template!$G$538)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(Template!$H$522,Template!$H$538)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A2-4AFE-BAE2-B639499E7E2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FE-4463-B738-2861BCE4F1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FFE-4463-B738-2861BCE4F1E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4FFE-4463-B738-2861BCE4F1E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4FFE-4463-B738-2861BCE4F1E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(Template!$G$547,Template!$G$563)</c:f>
              <c:numCache>
                <c:formatCode>_("$"* #,##0.00_);_("$"* \(#,##0.00\);_("$"* "-"??_);_(@_)</c:formatCode>
                <c:ptCount val="2"/>
                <c:pt idx="0">
                  <c:v>1000</c:v>
                </c:pt>
                <c:pt idx="1">
                  <c:v>1055</c:v>
                </c:pt>
              </c:numCache>
            </c:numRef>
          </c:cat>
          <c:val>
            <c:numRef>
              <c:f>(Template!$H$547,Template!$H$563)</c:f>
              <c:numCache>
                <c:formatCode>0.00%</c:formatCode>
                <c:ptCount val="2"/>
                <c:pt idx="0">
                  <c:v>0.48661800486618007</c:v>
                </c:pt>
                <c:pt idx="1">
                  <c:v>0.51338199513381999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E-4463-B738-2861BCE4F1E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055-4073-A314-C1744D1822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055-4073-A314-C1744D1822D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055-4073-A314-C1744D1822D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B055-4073-A314-C1744D1822D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(Template!$G$222,Template!$G$238)</c:f>
              <c:numCache>
                <c:formatCode>_("$"* #,##0.00_);_("$"* \(#,##0.00\);_("$"* "-"??_);_(@_)</c:formatCode>
                <c:ptCount val="2"/>
                <c:pt idx="0">
                  <c:v>4603</c:v>
                </c:pt>
                <c:pt idx="1">
                  <c:v>4227</c:v>
                </c:pt>
              </c:numCache>
            </c:numRef>
          </c:cat>
          <c:val>
            <c:numRef>
              <c:f>(Template!$H$222,Template!$H$238)</c:f>
              <c:numCache>
                <c:formatCode>0.00%</c:formatCode>
                <c:ptCount val="2"/>
                <c:pt idx="0">
                  <c:v>0.52129105322763303</c:v>
                </c:pt>
                <c:pt idx="1">
                  <c:v>0.47870894677236692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5-4073-A314-C1744D1822D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Expense Allocation Result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910-4374-9C7F-932F6F5F86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910-4374-9C7F-932F6F5F86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910-4374-9C7F-932F6F5F86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910-4374-9C7F-932F6F5F86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910-4374-9C7F-932F6F5F86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910-4374-9C7F-932F6F5F86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910-4374-9C7F-932F6F5F86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910-4374-9C7F-932F6F5F86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910-4374-9C7F-932F6F5F86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910-4374-9C7F-932F6F5F86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910-4374-9C7F-932F6F5F86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910-4374-9C7F-932F6F5F86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3910-4374-9C7F-932F6F5F86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3910-4374-9C7F-932F6F5F86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3910-4374-9C7F-932F6F5F86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3910-4374-9C7F-932F6F5F8665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3910-4374-9C7F-932F6F5F8665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3910-4374-9C7F-932F6F5F8665}"/>
              </c:ext>
            </c:extLst>
          </c:dPt>
          <c:dLbls>
            <c:dLbl>
              <c:idx val="0"/>
              <c:layout>
                <c:manualLayout>
                  <c:x val="8.7478559176672258E-2"/>
                  <c:y val="-3.597122302158273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10-4374-9C7F-932F6F5F8665}"/>
                </c:ext>
              </c:extLst>
            </c:dLbl>
            <c:dLbl>
              <c:idx val="1"/>
              <c:layout>
                <c:manualLayout>
                  <c:x val="3.0874785591766599E-2"/>
                  <c:y val="4.31654676258992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10-4374-9C7F-932F6F5F866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3910-4374-9C7F-932F6F5F866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3910-4374-9C7F-932F6F5F866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3910-4374-9C7F-932F6F5F866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3910-4374-9C7F-932F6F5F866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3910-4374-9C7F-932F6F5F866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3910-4374-9C7F-932F6F5F8665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3910-4374-9C7F-932F6F5F8665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3910-4374-9C7F-932F6F5F8665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3910-4374-9C7F-932F6F5F8665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7-3910-4374-9C7F-932F6F5F8665}"/>
                </c:ext>
              </c:extLst>
            </c:dLbl>
            <c:dLbl>
              <c:idx val="12"/>
              <c:layout>
                <c:manualLayout>
                  <c:x val="-2.0583190394511182E-2"/>
                  <c:y val="2.15827338129496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910-4374-9C7F-932F6F5F8665}"/>
                </c:ext>
              </c:extLst>
            </c:dLbl>
            <c:dLbl>
              <c:idx val="13"/>
              <c:layout>
                <c:manualLayout>
                  <c:x val="-3.7735849056603807E-2"/>
                  <c:y val="7.194244604316547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910-4374-9C7F-932F6F5F8665}"/>
                </c:ext>
              </c:extLst>
            </c:dLbl>
            <c:dLbl>
              <c:idx val="14"/>
              <c:layout>
                <c:manualLayout>
                  <c:x val="-4.1166313258870088E-2"/>
                  <c:y val="-3.95683453237410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5154306397806612E-2"/>
                      <c:h val="9.85971223021582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D-3910-4374-9C7F-932F6F5F8665}"/>
                </c:ext>
              </c:extLst>
            </c:dLbl>
            <c:dLbl>
              <c:idx val="15"/>
              <c:layout>
                <c:manualLayout>
                  <c:x val="-4.2881646655231621E-2"/>
                  <c:y val="5.39568345323740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910-4374-9C7F-932F6F5F8665}"/>
                </c:ext>
              </c:extLst>
            </c:dLbl>
            <c:dLbl>
              <c:idx val="16"/>
              <c:layout>
                <c:manualLayout>
                  <c:x val="-8.5763293310463749E-3"/>
                  <c:y val="-3.597122302158273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3910-4374-9C7F-932F6F5F8665}"/>
                </c:ext>
              </c:extLst>
            </c:dLbl>
            <c:dLbl>
              <c:idx val="17"/>
              <c:layout>
                <c:manualLayout>
                  <c:x val="4.974271012006861E-2"/>
                  <c:y val="-3.597122302158273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3910-4374-9C7F-932F6F5F866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Result!$B$3:$B$20</c:f>
              <c:strCache>
                <c:ptCount val="18"/>
                <c:pt idx="0">
                  <c:v>Demolition</c:v>
                </c:pt>
                <c:pt idx="1">
                  <c:v>Framing</c:v>
                </c:pt>
                <c:pt idx="2">
                  <c:v>Drywall, tape&amp;mudding</c:v>
                </c:pt>
                <c:pt idx="3">
                  <c:v>Painting</c:v>
                </c:pt>
                <c:pt idx="4">
                  <c:v>Finish Carpentry</c:v>
                </c:pt>
                <c:pt idx="5">
                  <c:v>Kitchen cabinet</c:v>
                </c:pt>
                <c:pt idx="6">
                  <c:v>Bathroom</c:v>
                </c:pt>
                <c:pt idx="7">
                  <c:v>Floorinng, tiling</c:v>
                </c:pt>
                <c:pt idx="8">
                  <c:v>HVAC</c:v>
                </c:pt>
                <c:pt idx="9">
                  <c:v>Electriccal</c:v>
                </c:pt>
                <c:pt idx="10">
                  <c:v>Plumbing</c:v>
                </c:pt>
                <c:pt idx="11">
                  <c:v>Landscaping</c:v>
                </c:pt>
                <c:pt idx="12">
                  <c:v>Siding</c:v>
                </c:pt>
                <c:pt idx="13">
                  <c:v>Painting</c:v>
                </c:pt>
                <c:pt idx="14">
                  <c:v>Deck</c:v>
                </c:pt>
                <c:pt idx="15">
                  <c:v>Fence</c:v>
                </c:pt>
                <c:pt idx="16">
                  <c:v>Driveway</c:v>
                </c:pt>
                <c:pt idx="17">
                  <c:v>Roofing</c:v>
                </c:pt>
              </c:strCache>
            </c:strRef>
          </c:cat>
          <c:val>
            <c:numRef>
              <c:f>Result!$E$3:$E$20</c:f>
              <c:numCache>
                <c:formatCode>_("$"* #,##0.00_);_("$"* \(#,##0.00\);_("$"* "-"??_);_(@_)</c:formatCode>
                <c:ptCount val="18"/>
                <c:pt idx="0">
                  <c:v>3650</c:v>
                </c:pt>
                <c:pt idx="1">
                  <c:v>10208</c:v>
                </c:pt>
                <c:pt idx="2">
                  <c:v>6316</c:v>
                </c:pt>
                <c:pt idx="3">
                  <c:v>2832</c:v>
                </c:pt>
                <c:pt idx="4">
                  <c:v>8830</c:v>
                </c:pt>
                <c:pt idx="5">
                  <c:v>18560</c:v>
                </c:pt>
                <c:pt idx="6">
                  <c:v>5778</c:v>
                </c:pt>
                <c:pt idx="7">
                  <c:v>9178</c:v>
                </c:pt>
                <c:pt idx="8">
                  <c:v>3250</c:v>
                </c:pt>
                <c:pt idx="9">
                  <c:v>3172</c:v>
                </c:pt>
                <c:pt idx="10">
                  <c:v>3068</c:v>
                </c:pt>
                <c:pt idx="11">
                  <c:v>5000</c:v>
                </c:pt>
                <c:pt idx="12">
                  <c:v>7678</c:v>
                </c:pt>
                <c:pt idx="13">
                  <c:v>1700</c:v>
                </c:pt>
                <c:pt idx="14">
                  <c:v>3500</c:v>
                </c:pt>
                <c:pt idx="15">
                  <c:v>4140</c:v>
                </c:pt>
                <c:pt idx="16">
                  <c:v>0</c:v>
                </c:pt>
                <c:pt idx="17">
                  <c:v>2055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910-4374-9C7F-932F6F5F8665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3910-4374-9C7F-932F6F5F86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8-3910-4374-9C7F-932F6F5F86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A-3910-4374-9C7F-932F6F5F86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C-3910-4374-9C7F-932F6F5F86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E-3910-4374-9C7F-932F6F5F86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0-3910-4374-9C7F-932F6F5F86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2-3910-4374-9C7F-932F6F5F86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4-3910-4374-9C7F-932F6F5F86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6-3910-4374-9C7F-932F6F5F86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8-3910-4374-9C7F-932F6F5F86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A-3910-4374-9C7F-932F6F5F86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3910-4374-9C7F-932F6F5F86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3910-4374-9C7F-932F6F5F86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3910-4374-9C7F-932F6F5F86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3910-4374-9C7F-932F6F5F86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3910-4374-9C7F-932F6F5F8665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6-3910-4374-9C7F-932F6F5F8665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8-3910-4374-9C7F-932F6F5F866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6-3910-4374-9C7F-932F6F5F866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8-3910-4374-9C7F-932F6F5F866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A-3910-4374-9C7F-932F6F5F866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C-3910-4374-9C7F-932F6F5F866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E-3910-4374-9C7F-932F6F5F866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0-3910-4374-9C7F-932F6F5F866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2-3910-4374-9C7F-932F6F5F866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4-3910-4374-9C7F-932F6F5F8665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6-3910-4374-9C7F-932F6F5F8665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8-3910-4374-9C7F-932F6F5F8665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A-3910-4374-9C7F-932F6F5F8665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C-3910-4374-9C7F-932F6F5F8665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E-3910-4374-9C7F-932F6F5F8665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0-3910-4374-9C7F-932F6F5F8665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2-3910-4374-9C7F-932F6F5F8665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4-3910-4374-9C7F-932F6F5F8665}"/>
                </c:ext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6-3910-4374-9C7F-932F6F5F8665}"/>
                </c:ext>
              </c:extLst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8-3910-4374-9C7F-932F6F5F866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Result!$B$3:$B$20</c:f>
              <c:strCache>
                <c:ptCount val="18"/>
                <c:pt idx="0">
                  <c:v>Demolition</c:v>
                </c:pt>
                <c:pt idx="1">
                  <c:v>Framing</c:v>
                </c:pt>
                <c:pt idx="2">
                  <c:v>Drywall, tape&amp;mudding</c:v>
                </c:pt>
                <c:pt idx="3">
                  <c:v>Painting</c:v>
                </c:pt>
                <c:pt idx="4">
                  <c:v>Finish Carpentry</c:v>
                </c:pt>
                <c:pt idx="5">
                  <c:v>Kitchen cabinet</c:v>
                </c:pt>
                <c:pt idx="6">
                  <c:v>Bathroom</c:v>
                </c:pt>
                <c:pt idx="7">
                  <c:v>Floorinng, tiling</c:v>
                </c:pt>
                <c:pt idx="8">
                  <c:v>HVAC</c:v>
                </c:pt>
                <c:pt idx="9">
                  <c:v>Electriccal</c:v>
                </c:pt>
                <c:pt idx="10">
                  <c:v>Plumbing</c:v>
                </c:pt>
                <c:pt idx="11">
                  <c:v>Landscaping</c:v>
                </c:pt>
                <c:pt idx="12">
                  <c:v>Siding</c:v>
                </c:pt>
                <c:pt idx="13">
                  <c:v>Painting</c:v>
                </c:pt>
                <c:pt idx="14">
                  <c:v>Deck</c:v>
                </c:pt>
                <c:pt idx="15">
                  <c:v>Fence</c:v>
                </c:pt>
                <c:pt idx="16">
                  <c:v>Driveway</c:v>
                </c:pt>
                <c:pt idx="17">
                  <c:v>Roofing</c:v>
                </c:pt>
              </c:strCache>
            </c:strRef>
          </c:cat>
          <c:val>
            <c:numRef>
              <c:f>Result!$F$3:$F$20</c:f>
              <c:numCache>
                <c:formatCode>0.00%</c:formatCode>
                <c:ptCount val="18"/>
                <c:pt idx="0">
                  <c:v>3.6900369003690037E-2</c:v>
                </c:pt>
                <c:pt idx="1">
                  <c:v>0.10319971692867613</c:v>
                </c:pt>
                <c:pt idx="2">
                  <c:v>6.3852802911590761E-2</c:v>
                </c:pt>
                <c:pt idx="3">
                  <c:v>2.8630642470808269E-2</c:v>
                </c:pt>
                <c:pt idx="4">
                  <c:v>8.9268563918515897E-2</c:v>
                </c:pt>
                <c:pt idx="5">
                  <c:v>0.18763584896122934</c:v>
                </c:pt>
                <c:pt idx="6">
                  <c:v>5.8413789617348229E-2</c:v>
                </c:pt>
                <c:pt idx="7">
                  <c:v>9.2786736086538951E-2</c:v>
                </c:pt>
                <c:pt idx="8">
                  <c:v>3.2856492948491127E-2</c:v>
                </c:pt>
                <c:pt idx="9">
                  <c:v>3.206793711772734E-2</c:v>
                </c:pt>
                <c:pt idx="10">
                  <c:v>3.1016529343375624E-2</c:v>
                </c:pt>
                <c:pt idx="11">
                  <c:v>5.0548450689986354E-2</c:v>
                </c:pt>
                <c:pt idx="12">
                  <c:v>7.7622200879543038E-2</c:v>
                </c:pt>
                <c:pt idx="13">
                  <c:v>1.7186473234595361E-2</c:v>
                </c:pt>
                <c:pt idx="14">
                  <c:v>3.5383915482990448E-2</c:v>
                </c:pt>
                <c:pt idx="15">
                  <c:v>4.18541171713087E-2</c:v>
                </c:pt>
                <c:pt idx="16">
                  <c:v>0</c:v>
                </c:pt>
                <c:pt idx="17">
                  <c:v>2.0775413233584391E-2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3910-4374-9C7F-932F6F5F86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13" Type="http://schemas.openxmlformats.org/officeDocument/2006/relationships/chart" Target="../charts/chart32.xml"/><Relationship Id="rId18" Type="http://schemas.openxmlformats.org/officeDocument/2006/relationships/chart" Target="../charts/chart3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17" Type="http://schemas.openxmlformats.org/officeDocument/2006/relationships/chart" Target="../charts/chart36.xml"/><Relationship Id="rId2" Type="http://schemas.openxmlformats.org/officeDocument/2006/relationships/chart" Target="../charts/chart21.xml"/><Relationship Id="rId16" Type="http://schemas.openxmlformats.org/officeDocument/2006/relationships/chart" Target="../charts/chart35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5" Type="http://schemas.openxmlformats.org/officeDocument/2006/relationships/chart" Target="../charts/chart34.xml"/><Relationship Id="rId10" Type="http://schemas.openxmlformats.org/officeDocument/2006/relationships/chart" Target="../charts/chart29.xml"/><Relationship Id="rId19" Type="http://schemas.openxmlformats.org/officeDocument/2006/relationships/chart" Target="../charts/chart38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Relationship Id="rId1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116</xdr:row>
      <xdr:rowOff>22225</xdr:rowOff>
    </xdr:from>
    <xdr:to>
      <xdr:col>1</xdr:col>
      <xdr:colOff>1200151</xdr:colOff>
      <xdr:row>125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896A2A-D42B-44B6-81C5-39E0F1995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141</xdr:row>
      <xdr:rowOff>136525</xdr:rowOff>
    </xdr:from>
    <xdr:to>
      <xdr:col>1</xdr:col>
      <xdr:colOff>1250950</xdr:colOff>
      <xdr:row>151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A5CBDF-C355-4302-BFEE-705E2D8C9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167</xdr:row>
      <xdr:rowOff>19050</xdr:rowOff>
    </xdr:from>
    <xdr:to>
      <xdr:col>1</xdr:col>
      <xdr:colOff>1301750</xdr:colOff>
      <xdr:row>178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5A67D34-6353-4784-8861-058988B314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191</xdr:row>
      <xdr:rowOff>104775</xdr:rowOff>
    </xdr:from>
    <xdr:to>
      <xdr:col>1</xdr:col>
      <xdr:colOff>1301750</xdr:colOff>
      <xdr:row>201</xdr:row>
      <xdr:rowOff>31750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392D74-8D9D-4FE6-9BE8-C8A2761BAE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241</xdr:row>
      <xdr:rowOff>111125</xdr:rowOff>
    </xdr:from>
    <xdr:to>
      <xdr:col>1</xdr:col>
      <xdr:colOff>1320801</xdr:colOff>
      <xdr:row>250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6ACDF3F-6792-4625-AE47-7732349D60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266</xdr:row>
      <xdr:rowOff>9525</xdr:rowOff>
    </xdr:from>
    <xdr:to>
      <xdr:col>1</xdr:col>
      <xdr:colOff>1276350</xdr:colOff>
      <xdr:row>276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EEA01E0-BA35-4323-9F31-2DAAC71145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291</xdr:row>
      <xdr:rowOff>85725</xdr:rowOff>
    </xdr:from>
    <xdr:to>
      <xdr:col>1</xdr:col>
      <xdr:colOff>1320800</xdr:colOff>
      <xdr:row>302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C18CA84-6350-4FB2-8EB4-0F22B741D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316</xdr:row>
      <xdr:rowOff>104775</xdr:rowOff>
    </xdr:from>
    <xdr:to>
      <xdr:col>1</xdr:col>
      <xdr:colOff>1339850</xdr:colOff>
      <xdr:row>326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9BF54F1-AAE1-455B-9437-5907111B45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341</xdr:row>
      <xdr:rowOff>41275</xdr:rowOff>
    </xdr:from>
    <xdr:to>
      <xdr:col>1</xdr:col>
      <xdr:colOff>1308100</xdr:colOff>
      <xdr:row>351</xdr:row>
      <xdr:rowOff>25400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286E593-0E2E-4D3A-96FE-5DE39B473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366</xdr:row>
      <xdr:rowOff>79375</xdr:rowOff>
    </xdr:from>
    <xdr:to>
      <xdr:col>1</xdr:col>
      <xdr:colOff>1301750</xdr:colOff>
      <xdr:row>376</xdr:row>
      <xdr:rowOff>101600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F516CC9-BA14-4F08-93EB-762E8CE20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391</xdr:row>
      <xdr:rowOff>15875</xdr:rowOff>
    </xdr:from>
    <xdr:to>
      <xdr:col>1</xdr:col>
      <xdr:colOff>1327150</xdr:colOff>
      <xdr:row>400</xdr:row>
      <xdr:rowOff>127000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FA1193F-F667-4173-B949-D12FA0763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416</xdr:row>
      <xdr:rowOff>41275</xdr:rowOff>
    </xdr:from>
    <xdr:to>
      <xdr:col>1</xdr:col>
      <xdr:colOff>1327151</xdr:colOff>
      <xdr:row>427</xdr:row>
      <xdr:rowOff>44450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950C770-44AB-4579-BFB4-EF7CDA0E5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441</xdr:row>
      <xdr:rowOff>34925</xdr:rowOff>
    </xdr:from>
    <xdr:to>
      <xdr:col>1</xdr:col>
      <xdr:colOff>1320800</xdr:colOff>
      <xdr:row>451</xdr:row>
      <xdr:rowOff>95250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630CB2D-4BDE-4EFE-A26A-525194DFED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466</xdr:row>
      <xdr:rowOff>41275</xdr:rowOff>
    </xdr:from>
    <xdr:to>
      <xdr:col>1</xdr:col>
      <xdr:colOff>1339851</xdr:colOff>
      <xdr:row>476</xdr:row>
      <xdr:rowOff>133350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ABDF25E-DF76-40BB-A6D2-83F9CEA07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491</xdr:row>
      <xdr:rowOff>53975</xdr:rowOff>
    </xdr:from>
    <xdr:to>
      <xdr:col>1</xdr:col>
      <xdr:colOff>1263650</xdr:colOff>
      <xdr:row>502</xdr:row>
      <xdr:rowOff>57150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541E680-5693-4C6E-BC8F-5C5389FEA1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516</xdr:row>
      <xdr:rowOff>79375</xdr:rowOff>
    </xdr:from>
    <xdr:to>
      <xdr:col>1</xdr:col>
      <xdr:colOff>1289050</xdr:colOff>
      <xdr:row>526</xdr:row>
      <xdr:rowOff>82550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BD97146-F60C-4EA2-97CF-41E51314F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540</xdr:row>
      <xdr:rowOff>180975</xdr:rowOff>
    </xdr:from>
    <xdr:to>
      <xdr:col>1</xdr:col>
      <xdr:colOff>1320800</xdr:colOff>
      <xdr:row>552</xdr:row>
      <xdr:rowOff>82550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76388BC-FC09-4346-967E-3C87C4F81B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216</xdr:row>
      <xdr:rowOff>53975</xdr:rowOff>
    </xdr:from>
    <xdr:to>
      <xdr:col>1</xdr:col>
      <xdr:colOff>1263650</xdr:colOff>
      <xdr:row>227</xdr:row>
      <xdr:rowOff>31750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97767D1-1DF1-416B-9C23-E35E965C9D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60</xdr:row>
      <xdr:rowOff>50800</xdr:rowOff>
    </xdr:from>
    <xdr:to>
      <xdr:col>5</xdr:col>
      <xdr:colOff>838200</xdr:colOff>
      <xdr:row>80</xdr:row>
      <xdr:rowOff>25400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EC27255-F28A-4570-B49D-92507ABBB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116</xdr:row>
      <xdr:rowOff>22225</xdr:rowOff>
    </xdr:from>
    <xdr:to>
      <xdr:col>1</xdr:col>
      <xdr:colOff>1200151</xdr:colOff>
      <xdr:row>125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537E967-5974-4C08-B4A7-2FBC4CD59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141</xdr:row>
      <xdr:rowOff>136525</xdr:rowOff>
    </xdr:from>
    <xdr:to>
      <xdr:col>1</xdr:col>
      <xdr:colOff>1250950</xdr:colOff>
      <xdr:row>151</xdr:row>
      <xdr:rowOff>139700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A292600-B389-41BC-9A94-A1E773D127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167</xdr:row>
      <xdr:rowOff>19050</xdr:rowOff>
    </xdr:from>
    <xdr:to>
      <xdr:col>1</xdr:col>
      <xdr:colOff>1301750</xdr:colOff>
      <xdr:row>178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0B6BF65-2226-4EBE-9AF5-1AAB74B668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191</xdr:row>
      <xdr:rowOff>104775</xdr:rowOff>
    </xdr:from>
    <xdr:to>
      <xdr:col>1</xdr:col>
      <xdr:colOff>1301750</xdr:colOff>
      <xdr:row>201</xdr:row>
      <xdr:rowOff>31750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018ADF4-DD40-4968-B280-982947FD68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241</xdr:row>
      <xdr:rowOff>111125</xdr:rowOff>
    </xdr:from>
    <xdr:to>
      <xdr:col>1</xdr:col>
      <xdr:colOff>1320801</xdr:colOff>
      <xdr:row>250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E47B0E-91E0-4613-81E4-DDE828588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266</xdr:row>
      <xdr:rowOff>9525</xdr:rowOff>
    </xdr:from>
    <xdr:to>
      <xdr:col>1</xdr:col>
      <xdr:colOff>1276350</xdr:colOff>
      <xdr:row>276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C2E6DD-DDBF-48E3-9DB5-BF7B291E40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291</xdr:row>
      <xdr:rowOff>85725</xdr:rowOff>
    </xdr:from>
    <xdr:to>
      <xdr:col>1</xdr:col>
      <xdr:colOff>1320800</xdr:colOff>
      <xdr:row>302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21935C3-05E0-4855-87DA-DFD4C7A4A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316</xdr:row>
      <xdr:rowOff>104775</xdr:rowOff>
    </xdr:from>
    <xdr:to>
      <xdr:col>1</xdr:col>
      <xdr:colOff>1339850</xdr:colOff>
      <xdr:row>326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36A10C5-F9CE-4A27-99CC-EDC210FF1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341</xdr:row>
      <xdr:rowOff>41275</xdr:rowOff>
    </xdr:from>
    <xdr:to>
      <xdr:col>1</xdr:col>
      <xdr:colOff>1308100</xdr:colOff>
      <xdr:row>351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456A1C-6242-4C03-88D5-1B84B26D07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366</xdr:row>
      <xdr:rowOff>79375</xdr:rowOff>
    </xdr:from>
    <xdr:to>
      <xdr:col>1</xdr:col>
      <xdr:colOff>1301750</xdr:colOff>
      <xdr:row>376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E16AE74-65EE-4F82-9A78-181EFC3D8A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391</xdr:row>
      <xdr:rowOff>15875</xdr:rowOff>
    </xdr:from>
    <xdr:to>
      <xdr:col>1</xdr:col>
      <xdr:colOff>1327150</xdr:colOff>
      <xdr:row>400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60562B0-63E5-4716-A1B9-1A1FC2FFE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416</xdr:row>
      <xdr:rowOff>41275</xdr:rowOff>
    </xdr:from>
    <xdr:to>
      <xdr:col>1</xdr:col>
      <xdr:colOff>1327151</xdr:colOff>
      <xdr:row>427</xdr:row>
      <xdr:rowOff>44450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77FDC50-CF6D-47CA-94AE-DB2ECB0CA2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441</xdr:row>
      <xdr:rowOff>34925</xdr:rowOff>
    </xdr:from>
    <xdr:to>
      <xdr:col>1</xdr:col>
      <xdr:colOff>1320800</xdr:colOff>
      <xdr:row>451</xdr:row>
      <xdr:rowOff>95250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7E01F2F-D230-446F-ADA4-9A2EA4221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466</xdr:row>
      <xdr:rowOff>41275</xdr:rowOff>
    </xdr:from>
    <xdr:to>
      <xdr:col>1</xdr:col>
      <xdr:colOff>1339851</xdr:colOff>
      <xdr:row>476</xdr:row>
      <xdr:rowOff>133350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E9B9C85-2D33-4544-B482-9545C69C35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491</xdr:row>
      <xdr:rowOff>53975</xdr:rowOff>
    </xdr:from>
    <xdr:to>
      <xdr:col>1</xdr:col>
      <xdr:colOff>1263650</xdr:colOff>
      <xdr:row>502</xdr:row>
      <xdr:rowOff>57150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5D9D49D4-F0C7-4B03-BFA8-8CCA70C5C5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516</xdr:row>
      <xdr:rowOff>79375</xdr:rowOff>
    </xdr:from>
    <xdr:to>
      <xdr:col>1</xdr:col>
      <xdr:colOff>1289050</xdr:colOff>
      <xdr:row>526</xdr:row>
      <xdr:rowOff>82550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B8808EA-B253-40D5-B51F-6939BE4F79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540</xdr:row>
      <xdr:rowOff>180975</xdr:rowOff>
    </xdr:from>
    <xdr:to>
      <xdr:col>1</xdr:col>
      <xdr:colOff>1320800</xdr:colOff>
      <xdr:row>552</xdr:row>
      <xdr:rowOff>82550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F0A481B-BD01-49B5-A865-D658DC042F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216</xdr:row>
      <xdr:rowOff>53975</xdr:rowOff>
    </xdr:from>
    <xdr:to>
      <xdr:col>1</xdr:col>
      <xdr:colOff>1263650</xdr:colOff>
      <xdr:row>227</xdr:row>
      <xdr:rowOff>31750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78596C0-551E-4DEB-B082-FDED66737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60</xdr:row>
      <xdr:rowOff>6350</xdr:rowOff>
    </xdr:from>
    <xdr:to>
      <xdr:col>5</xdr:col>
      <xdr:colOff>838200</xdr:colOff>
      <xdr:row>79</xdr:row>
      <xdr:rowOff>158750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BE52E000-5EC7-4C1C-A3EF-E4573A6E2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Kenchikuya\Online%20Business%20ideas\System,%20Tools\Crients\Kathy\Renovation%20management%20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"/>
      <sheetName val="Cost Calculator"/>
      <sheetName val="Result"/>
    </sheetNames>
    <sheetDataSet>
      <sheetData sheetId="0">
        <row r="58">
          <cell r="H58" t="str">
            <v>Demolition</v>
          </cell>
        </row>
        <row r="59">
          <cell r="H59" t="str">
            <v>Framing</v>
          </cell>
        </row>
        <row r="60">
          <cell r="H60" t="str">
            <v>Drywall, tape&amp;mudding</v>
          </cell>
        </row>
        <row r="61">
          <cell r="H61" t="str">
            <v>Painting</v>
          </cell>
        </row>
        <row r="62">
          <cell r="H62" t="str">
            <v>Finish Carpentry</v>
          </cell>
        </row>
        <row r="63">
          <cell r="H63" t="str">
            <v>Kitchen cabinet</v>
          </cell>
        </row>
        <row r="64">
          <cell r="H64" t="str">
            <v>Bathroom</v>
          </cell>
        </row>
        <row r="65">
          <cell r="H65" t="str">
            <v>Floorinng, tiling</v>
          </cell>
        </row>
        <row r="66">
          <cell r="H66" t="str">
            <v>HVAC</v>
          </cell>
        </row>
        <row r="67">
          <cell r="H67" t="str">
            <v>Electriccal</v>
          </cell>
        </row>
        <row r="68">
          <cell r="H68" t="str">
            <v>Plumbing</v>
          </cell>
        </row>
        <row r="69">
          <cell r="H69" t="str">
            <v>Landscaping</v>
          </cell>
        </row>
        <row r="70">
          <cell r="H70" t="str">
            <v>Siding</v>
          </cell>
        </row>
        <row r="71">
          <cell r="H71" t="str">
            <v>Painting</v>
          </cell>
        </row>
        <row r="72">
          <cell r="H72" t="str">
            <v>Deck</v>
          </cell>
        </row>
        <row r="73">
          <cell r="H73" t="str">
            <v>Fence</v>
          </cell>
        </row>
        <row r="74">
          <cell r="H74" t="str">
            <v>Garage door</v>
          </cell>
        </row>
        <row r="75">
          <cell r="H75" t="str">
            <v>Roofing</v>
          </cell>
        </row>
      </sheetData>
      <sheetData sheetId="1"/>
      <sheetData sheetId="2">
        <row r="5">
          <cell r="F5">
            <v>0.19402673976370741</v>
          </cell>
          <cell r="I5">
            <v>3.3535413962237352E-2</v>
          </cell>
        </row>
        <row r="6">
          <cell r="F6">
            <v>0.60481499438825947</v>
          </cell>
          <cell r="I6">
            <v>0.10218707707472989</v>
          </cell>
        </row>
        <row r="7">
          <cell r="F7">
            <v>0.59467538225867977</v>
          </cell>
          <cell r="I7">
            <v>6.3226264595621876E-2</v>
          </cell>
        </row>
        <row r="8">
          <cell r="F8">
            <v>0.27965700939258964</v>
          </cell>
          <cell r="I8">
            <v>2.8349889718159448E-2</v>
          </cell>
        </row>
        <row r="9">
          <cell r="F9">
            <v>0.47870398240005174</v>
          </cell>
          <cell r="I9">
            <v>8.8392844268146878E-2</v>
          </cell>
        </row>
        <row r="10">
          <cell r="F10">
            <v>0.6465471779946298</v>
          </cell>
          <cell r="I10">
            <v>0.1857945313437312</v>
          </cell>
        </row>
        <row r="11">
          <cell r="F11">
            <v>0.43578603974922897</v>
          </cell>
          <cell r="I11">
            <v>5.7840802971904186E-2</v>
          </cell>
        </row>
        <row r="12">
          <cell r="F12">
            <v>0.61864860804314303</v>
          </cell>
          <cell r="I12">
            <v>9.1876247579337392E-2</v>
          </cell>
        </row>
        <row r="13">
          <cell r="F13">
            <v>0.10769039604114937</v>
          </cell>
          <cell r="I13">
            <v>3.2534412708467998E-2</v>
          </cell>
        </row>
        <row r="14">
          <cell r="F14">
            <v>0.19293511166207347</v>
          </cell>
          <cell r="I14">
            <v>3.1753532954715336E-2</v>
          </cell>
        </row>
        <row r="15">
          <cell r="F15">
            <v>0.12646455590115008</v>
          </cell>
          <cell r="I15">
            <v>3.0712474126054268E-2</v>
          </cell>
        </row>
        <row r="16">
          <cell r="F16">
            <v>0.39999522555284117</v>
          </cell>
          <cell r="I16">
            <v>5.0052651570651953E-2</v>
          </cell>
        </row>
        <row r="17">
          <cell r="F17">
            <v>0.54414718833272169</v>
          </cell>
          <cell r="I17">
            <v>7.6860631338446866E-2</v>
          </cell>
        </row>
        <row r="18">
          <cell r="F18">
            <v>0.29411351692292209</v>
          </cell>
          <cell r="I18">
            <v>1.7017937380082677E-2</v>
          </cell>
        </row>
        <row r="19">
          <cell r="F19">
            <v>0.5714236995271007</v>
          </cell>
          <cell r="I19">
            <v>3.5036736612586328E-2</v>
          </cell>
        </row>
        <row r="20">
          <cell r="F20">
            <v>0.54347332507893642</v>
          </cell>
          <cell r="I20">
            <v>4.1443477208498475E-2</v>
          </cell>
        </row>
        <row r="21">
          <cell r="F21">
            <v>0.39062026460254762</v>
          </cell>
          <cell r="I21">
            <v>1.2813481191824299E-2</v>
          </cell>
        </row>
        <row r="22">
          <cell r="F22">
            <v>0.51337702530264251</v>
          </cell>
          <cell r="I22">
            <v>2.0571593394803418E-2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F43968A-F205-4D62-A21F-1F42F92CDB41}" autoFormatId="16" applyNumberFormats="0" applyBorderFormats="0" applyFontFormats="0" applyPatternFormats="0" applyAlignmentFormats="0" applyWidthHeightFormats="0">
  <queryTableRefresh nextId="13">
    <queryTableFields count="11">
      <queryTableField id="2" name="Name" tableColumnId="2"/>
      <queryTableField id="3" name="Status" tableColumnId="3"/>
      <queryTableField id="4" name="Population Census (C) 1981-06-03" tableColumnId="4"/>
      <queryTableField id="5" name="Population Census (C) 1991-06-04" tableColumnId="5"/>
      <queryTableField id="6" name="Population Census (C) 2001-05-15" tableColumnId="6"/>
      <queryTableField id="7" name="Population Estimate (E) 2007-07-01" tableColumnId="7"/>
      <queryTableField id="8" name="Population Estimate (E) 2012-07-01" tableColumnId="8"/>
      <queryTableField id="9" name="Population Estimate (E) 2017-07-01" tableColumnId="9"/>
      <queryTableField id="10" name="Population Estimate (E) 2019-07-01" tableColumnId="10"/>
      <queryTableField id="11" name="Area" tableColumnId="11"/>
      <queryTableField id="12" name="2" tableColumnId="12"/>
    </queryTableFields>
    <queryTableDeletedFields count="1">
      <deletedField name="Column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844F965-0E5F-4B09-8F8A-9F89BC500B42}" autoFormatId="16" applyNumberFormats="0" applyBorderFormats="0" applyFontFormats="0" applyPatternFormats="0" applyAlignmentFormats="0" applyWidthHeightFormats="0">
  <queryTableRefresh nextId="3">
    <queryTableFields count="2">
      <queryTableField id="1" name="Code" tableColumnId="1"/>
      <queryTableField id="2" name="State/Provinc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468ED4-CA5D-4CD1-89C3-002EF6B58AF9}" name="Contents__Cities__Towns___District_Municipalities" displayName="Contents__Cities__Towns___District_Municipalities" ref="A2:K60" tableType="queryTable" totalsRowShown="0" headerRowDxfId="16" dataDxfId="15">
  <autoFilter ref="A2:K60" xr:uid="{09D8E6A2-F0CF-4AA0-AD4F-CDF9B42D990E}"/>
  <tableColumns count="11">
    <tableColumn id="2" xr3:uid="{1B982017-4AE7-4E44-B4A6-F722EDCC737A}" uniqueName="2" name="Name" queryTableFieldId="2" dataDxfId="14"/>
    <tableColumn id="3" xr3:uid="{0764F5AC-ADFA-44A9-AB08-E2C04155C45D}" uniqueName="3" name="Status" queryTableFieldId="3" dataDxfId="13"/>
    <tableColumn id="4" xr3:uid="{79728243-0426-4A1D-AEEB-7C89F687FF32}" uniqueName="4" name="Population Census (C) 1981-06-03" queryTableFieldId="4" dataDxfId="12"/>
    <tableColumn id="5" xr3:uid="{B0718049-10E2-48DA-A582-35B1FE31A025}" uniqueName="5" name="Population Census (C) 1991-06-04" queryTableFieldId="5" dataDxfId="11"/>
    <tableColumn id="6" xr3:uid="{0B170126-12B9-40CE-BD1F-E6C3D1E5AC4A}" uniqueName="6" name="Population Census (C) 2001-05-15" queryTableFieldId="6" dataDxfId="10"/>
    <tableColumn id="7" xr3:uid="{05FA0806-6E90-4412-A81E-BB05AD90CFE2}" uniqueName="7" name="Population Estimate (E) 2007-07-01" queryTableFieldId="7" dataDxfId="9"/>
    <tableColumn id="8" xr3:uid="{4227FF9A-93BD-4DEA-AF3C-902CF737CF99}" uniqueName="8" name="Population Estimate (E) 2012-07-01" queryTableFieldId="8" dataDxfId="8"/>
    <tableColumn id="9" xr3:uid="{AC805387-4808-4F77-B1AE-D165BA008DBC}" uniqueName="9" name="Population Estimate (E) 2017-07-01" queryTableFieldId="9" dataDxfId="7"/>
    <tableColumn id="10" xr3:uid="{CF768B42-F1F9-45E8-8C5F-10369360C26D}" uniqueName="10" name="Population Estimate (E) 2019-07-01" queryTableFieldId="10" dataDxfId="6"/>
    <tableColumn id="11" xr3:uid="{58140907-069A-4004-A7AC-7074542779F8}" uniqueName="11" name="Area" queryTableFieldId="11" dataDxfId="5"/>
    <tableColumn id="12" xr3:uid="{E34CE999-4847-4045-9FD8-48925AC0D34D}" uniqueName="12" name="2" queryTableFieldId="12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75DA7C-FAA2-4701-90F4-45BD554720C0}" name="Canada__CA____State_Province_Table" displayName="Canada__CA____State_Province_Table" ref="A1:B14" tableType="queryTable" totalsRowShown="0" headerRowDxfId="3" dataDxfId="2">
  <autoFilter ref="A1:B14" xr:uid="{3DD20E1A-D455-4966-87DB-D9C2383B55D2}"/>
  <tableColumns count="2">
    <tableColumn id="1" xr3:uid="{66DF20D3-E0BD-4A24-A71A-F518634D2614}" uniqueName="1" name="Code" queryTableFieldId="1" dataDxfId="1"/>
    <tableColumn id="2" xr3:uid="{46BC48DA-D0C4-4264-8911-A639AAB448C2}" uniqueName="2" name="State/Province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E9609-A8E7-4B08-8A2F-9B298939DDA4}">
  <sheetPr codeName="Sheet6"/>
  <dimension ref="A1:U564"/>
  <sheetViews>
    <sheetView tabSelected="1" zoomScaleNormal="100" workbookViewId="0">
      <selection activeCell="D3" sqref="D3:E3"/>
    </sheetView>
  </sheetViews>
  <sheetFormatPr defaultColWidth="8.77734375" defaultRowHeight="13.8" x14ac:dyDescent="0.25"/>
  <cols>
    <col min="1" max="1" width="27.109375" style="5" customWidth="1"/>
    <col min="2" max="2" width="19.5546875" style="4" customWidth="1"/>
    <col min="3" max="3" width="10.44140625" style="5" customWidth="1"/>
    <col min="4" max="4" width="21.77734375" style="5" customWidth="1"/>
    <col min="5" max="5" width="15.21875" style="4" customWidth="1"/>
    <col min="6" max="6" width="12.44140625" style="4" customWidth="1"/>
    <col min="7" max="7" width="25" style="5" customWidth="1"/>
    <col min="8" max="8" width="14.5546875" style="5" customWidth="1"/>
    <col min="9" max="9" width="10.21875" style="5" customWidth="1"/>
    <col min="10" max="10" width="11.21875" style="5" customWidth="1"/>
    <col min="11" max="11" width="25.109375" style="5" customWidth="1"/>
    <col min="12" max="12" width="35.88671875" style="5" customWidth="1"/>
    <col min="13" max="13" width="8.77734375" style="5"/>
    <col min="14" max="14" width="7.109375" style="5" customWidth="1"/>
    <col min="15" max="15" width="14" style="5" customWidth="1"/>
    <col min="16" max="16" width="8.77734375" style="5"/>
    <col min="17" max="17" width="10.21875" style="5" customWidth="1"/>
    <col min="18" max="18" width="41.109375" style="5" customWidth="1"/>
    <col min="19" max="19" width="16.77734375" style="5" customWidth="1"/>
    <col min="20" max="16384" width="8.77734375" style="5"/>
  </cols>
  <sheetData>
    <row r="1" spans="1:12" ht="17.399999999999999" thickBot="1" x14ac:dyDescent="0.35">
      <c r="A1" s="1" t="s">
        <v>53</v>
      </c>
      <c r="B1" s="2" t="s">
        <v>354</v>
      </c>
      <c r="C1" s="3" t="s">
        <v>94</v>
      </c>
      <c r="D1" s="3" t="s">
        <v>95</v>
      </c>
      <c r="G1" s="190"/>
    </row>
    <row r="2" spans="1:12" ht="16.8" thickTop="1" thickBot="1" x14ac:dyDescent="0.35">
      <c r="A2" s="6" t="s">
        <v>29</v>
      </c>
      <c r="B2" s="7" t="s">
        <v>355</v>
      </c>
      <c r="C2" s="7" t="s">
        <v>100</v>
      </c>
      <c r="D2" s="7" t="s">
        <v>235</v>
      </c>
    </row>
    <row r="3" spans="1:12" ht="19.05" customHeight="1" thickBot="1" x14ac:dyDescent="0.65">
      <c r="A3" s="6" t="s">
        <v>33</v>
      </c>
      <c r="B3" s="7" t="s">
        <v>356</v>
      </c>
      <c r="D3" s="211" t="s">
        <v>34</v>
      </c>
      <c r="E3" s="211"/>
      <c r="F3" s="8" t="s">
        <v>35</v>
      </c>
      <c r="G3" s="3" t="s">
        <v>91</v>
      </c>
      <c r="H3" s="3" t="s">
        <v>92</v>
      </c>
      <c r="I3" s="3" t="s">
        <v>93</v>
      </c>
      <c r="K3" s="212" t="s">
        <v>64</v>
      </c>
      <c r="L3" s="213"/>
    </row>
    <row r="4" spans="1:12" ht="16.2" thickTop="1" x14ac:dyDescent="0.3">
      <c r="A4" s="6" t="s">
        <v>357</v>
      </c>
      <c r="B4" s="9">
        <v>1823</v>
      </c>
      <c r="C4" s="5" t="s">
        <v>358</v>
      </c>
      <c r="D4" s="5" t="s">
        <v>37</v>
      </c>
      <c r="K4" s="10" t="s">
        <v>18</v>
      </c>
      <c r="L4" s="11">
        <f>B8</f>
        <v>525000</v>
      </c>
    </row>
    <row r="5" spans="1:12" ht="15.6" x14ac:dyDescent="0.3">
      <c r="A5" s="12" t="s">
        <v>8</v>
      </c>
      <c r="B5" s="13">
        <v>725000</v>
      </c>
      <c r="C5" s="14"/>
      <c r="D5" s="15" t="s">
        <v>84</v>
      </c>
      <c r="E5" s="16">
        <v>2800</v>
      </c>
      <c r="F5" s="4">
        <f>H58</f>
        <v>3000</v>
      </c>
      <c r="G5" s="17">
        <f>E5-F5</f>
        <v>-200</v>
      </c>
      <c r="H5" s="18">
        <f>F5/$F$46</f>
        <v>3.0329070413991813E-2</v>
      </c>
      <c r="I5" s="19">
        <f>F5/$B$4</f>
        <v>1.6456390565002743</v>
      </c>
      <c r="K5" s="10" t="s">
        <v>65</v>
      </c>
      <c r="L5" s="20">
        <f>B27</f>
        <v>0.2</v>
      </c>
    </row>
    <row r="6" spans="1:12" ht="16.2" thickBot="1" x14ac:dyDescent="0.35">
      <c r="A6" s="21" t="s">
        <v>9</v>
      </c>
      <c r="B6" s="22">
        <v>6</v>
      </c>
      <c r="D6" s="23" t="s">
        <v>36</v>
      </c>
      <c r="E6" s="16">
        <v>4000</v>
      </c>
      <c r="F6" s="4">
        <f t="shared" ref="F6:F15" si="0">H59</f>
        <v>4034</v>
      </c>
      <c r="G6" s="17">
        <f t="shared" ref="G6:G46" si="1">E6-F6</f>
        <v>-34</v>
      </c>
      <c r="H6" s="18">
        <f t="shared" ref="H6:H45" si="2">F6/$F$46</f>
        <v>4.0782490016680988E-2</v>
      </c>
      <c r="I6" s="19">
        <f t="shared" ref="I6:I46" si="3">F6/$B$4</f>
        <v>2.212835984640702</v>
      </c>
      <c r="K6" s="10" t="s">
        <v>66</v>
      </c>
      <c r="L6" s="24">
        <v>30</v>
      </c>
    </row>
    <row r="7" spans="1:12" ht="16.2" thickTop="1" x14ac:dyDescent="0.3">
      <c r="A7" s="25" t="s">
        <v>18</v>
      </c>
      <c r="B7" s="26">
        <f>SUM(B8:B10)</f>
        <v>527050</v>
      </c>
      <c r="C7" s="180"/>
      <c r="D7" s="23" t="s">
        <v>85</v>
      </c>
      <c r="E7" s="16">
        <v>3000</v>
      </c>
      <c r="F7" s="4">
        <f t="shared" si="0"/>
        <v>2560</v>
      </c>
      <c r="G7" s="17">
        <f t="shared" si="1"/>
        <v>440</v>
      </c>
      <c r="H7" s="18">
        <f t="shared" si="2"/>
        <v>2.5880806753273013E-2</v>
      </c>
      <c r="I7" s="19">
        <f t="shared" si="3"/>
        <v>1.4042786615469007</v>
      </c>
      <c r="K7" s="10" t="s">
        <v>67</v>
      </c>
      <c r="L7" s="27">
        <v>12</v>
      </c>
    </row>
    <row r="8" spans="1:12" ht="15.6" x14ac:dyDescent="0.3">
      <c r="A8" s="28" t="s">
        <v>10</v>
      </c>
      <c r="B8" s="29">
        <v>525000</v>
      </c>
      <c r="D8" s="23" t="s">
        <v>38</v>
      </c>
      <c r="E8" s="16">
        <v>2500</v>
      </c>
      <c r="F8" s="4">
        <f t="shared" si="0"/>
        <v>2040</v>
      </c>
      <c r="G8" s="17">
        <f t="shared" si="1"/>
        <v>460</v>
      </c>
      <c r="H8" s="18">
        <f t="shared" si="2"/>
        <v>2.0623767881514432E-2</v>
      </c>
      <c r="I8" s="19">
        <f t="shared" si="3"/>
        <v>1.1190345584201864</v>
      </c>
      <c r="K8" s="10" t="s">
        <v>68</v>
      </c>
      <c r="L8" s="30">
        <v>1.7999999999999999E-2</v>
      </c>
    </row>
    <row r="9" spans="1:12" ht="15.6" x14ac:dyDescent="0.3">
      <c r="A9" s="28" t="s">
        <v>11</v>
      </c>
      <c r="B9" s="29">
        <v>1200</v>
      </c>
      <c r="D9" s="23" t="s">
        <v>54</v>
      </c>
      <c r="E9" s="16">
        <v>5000</v>
      </c>
      <c r="F9" s="4">
        <f t="shared" si="0"/>
        <v>4603</v>
      </c>
      <c r="G9" s="17">
        <f t="shared" si="1"/>
        <v>397</v>
      </c>
      <c r="H9" s="18">
        <f t="shared" si="2"/>
        <v>4.6534903705201434E-2</v>
      </c>
      <c r="I9" s="19">
        <f t="shared" si="3"/>
        <v>2.5249588590235876</v>
      </c>
      <c r="K9" s="10" t="s">
        <v>69</v>
      </c>
      <c r="L9" s="31">
        <f>L6*L7</f>
        <v>360</v>
      </c>
    </row>
    <row r="10" spans="1:12" ht="15.6" x14ac:dyDescent="0.3">
      <c r="A10" s="28" t="s">
        <v>12</v>
      </c>
      <c r="B10" s="29">
        <v>850</v>
      </c>
      <c r="D10" s="23" t="s">
        <v>39</v>
      </c>
      <c r="E10" s="16">
        <v>7000</v>
      </c>
      <c r="F10" s="4">
        <f t="shared" si="0"/>
        <v>6560</v>
      </c>
      <c r="G10" s="17">
        <f t="shared" si="1"/>
        <v>440</v>
      </c>
      <c r="H10" s="18">
        <f t="shared" si="2"/>
        <v>6.6319567305262089E-2</v>
      </c>
      <c r="I10" s="19">
        <f t="shared" si="3"/>
        <v>3.5984640702139332</v>
      </c>
      <c r="K10" s="10" t="s">
        <v>30</v>
      </c>
      <c r="L10" s="11">
        <f>L4*L5</f>
        <v>105000</v>
      </c>
    </row>
    <row r="11" spans="1:12" ht="15.6" x14ac:dyDescent="0.3">
      <c r="A11" s="25" t="s">
        <v>17</v>
      </c>
      <c r="B11" s="26">
        <f>SUM(B12:B15)</f>
        <v>13300</v>
      </c>
      <c r="D11" s="23" t="s">
        <v>86</v>
      </c>
      <c r="E11" s="16">
        <v>2500</v>
      </c>
      <c r="F11" s="4">
        <f t="shared" si="0"/>
        <v>3260</v>
      </c>
      <c r="G11" s="17">
        <f t="shared" si="1"/>
        <v>-760</v>
      </c>
      <c r="H11" s="18">
        <f t="shared" si="2"/>
        <v>3.29575898498711E-2</v>
      </c>
      <c r="I11" s="19">
        <f t="shared" si="3"/>
        <v>1.7882611080636315</v>
      </c>
      <c r="K11" s="10" t="s">
        <v>70</v>
      </c>
      <c r="L11" s="11">
        <f>L4-L10</f>
        <v>420000</v>
      </c>
    </row>
    <row r="12" spans="1:12" ht="16.2" thickBot="1" x14ac:dyDescent="0.35">
      <c r="A12" s="28" t="s">
        <v>13</v>
      </c>
      <c r="B12" s="29">
        <v>1000</v>
      </c>
      <c r="D12" s="23" t="s">
        <v>87</v>
      </c>
      <c r="E12" s="16">
        <v>2000</v>
      </c>
      <c r="F12" s="4">
        <f t="shared" si="0"/>
        <v>3500</v>
      </c>
      <c r="G12" s="17">
        <f t="shared" si="1"/>
        <v>-1500</v>
      </c>
      <c r="H12" s="18">
        <f t="shared" si="2"/>
        <v>3.5383915482990448E-2</v>
      </c>
      <c r="I12" s="19">
        <f t="shared" si="3"/>
        <v>1.9199122325836533</v>
      </c>
      <c r="K12" s="32" t="s">
        <v>71</v>
      </c>
      <c r="L12" s="33">
        <f>-PMT(L8/L7,L9,L11,0)</f>
        <v>1510.7336814138685</v>
      </c>
    </row>
    <row r="13" spans="1:12" ht="15.6" x14ac:dyDescent="0.3">
      <c r="A13" s="28" t="s">
        <v>14</v>
      </c>
      <c r="B13" s="29">
        <f>B8*2%</f>
        <v>10500</v>
      </c>
      <c r="D13" s="23" t="s">
        <v>80</v>
      </c>
      <c r="E13" s="16">
        <v>3000</v>
      </c>
      <c r="F13" s="4">
        <f t="shared" si="0"/>
        <v>2900</v>
      </c>
      <c r="G13" s="17">
        <f t="shared" si="1"/>
        <v>100</v>
      </c>
      <c r="H13" s="18">
        <f t="shared" si="2"/>
        <v>2.9318101400192084E-2</v>
      </c>
      <c r="I13" s="19">
        <f t="shared" si="3"/>
        <v>1.5907844212835984</v>
      </c>
    </row>
    <row r="14" spans="1:12" ht="15.6" x14ac:dyDescent="0.3">
      <c r="A14" s="28" t="s">
        <v>15</v>
      </c>
      <c r="B14" s="29">
        <v>1500</v>
      </c>
      <c r="D14" s="23" t="s">
        <v>88</v>
      </c>
      <c r="E14" s="16">
        <v>2000</v>
      </c>
      <c r="F14" s="4">
        <f t="shared" si="0"/>
        <v>2560</v>
      </c>
      <c r="G14" s="17">
        <f t="shared" si="1"/>
        <v>-560</v>
      </c>
      <c r="H14" s="18">
        <f t="shared" si="2"/>
        <v>2.5880806753273013E-2</v>
      </c>
      <c r="I14" s="19">
        <f t="shared" si="3"/>
        <v>1.4042786615469007</v>
      </c>
    </row>
    <row r="15" spans="1:12" ht="15.6" x14ac:dyDescent="0.3">
      <c r="A15" s="28" t="s">
        <v>16</v>
      </c>
      <c r="B15" s="29">
        <v>300</v>
      </c>
      <c r="D15" s="23" t="s">
        <v>40</v>
      </c>
      <c r="E15" s="16">
        <v>2000</v>
      </c>
      <c r="F15" s="4">
        <f t="shared" si="0"/>
        <v>2680</v>
      </c>
      <c r="G15" s="17">
        <f t="shared" si="1"/>
        <v>-680</v>
      </c>
      <c r="H15" s="18">
        <f t="shared" si="2"/>
        <v>2.7093969569832684E-2</v>
      </c>
      <c r="I15" s="19">
        <f t="shared" si="3"/>
        <v>1.4701042238069117</v>
      </c>
    </row>
    <row r="16" spans="1:12" ht="15.6" x14ac:dyDescent="0.3">
      <c r="A16" s="25" t="s">
        <v>19</v>
      </c>
      <c r="B16" s="26">
        <f>SUM(B17:B23)</f>
        <v>2792.7336814138685</v>
      </c>
      <c r="D16" s="5" t="s">
        <v>41</v>
      </c>
      <c r="E16" s="34"/>
      <c r="G16" s="17"/>
      <c r="H16" s="18"/>
      <c r="I16" s="19"/>
    </row>
    <row r="17" spans="1:9" ht="15.6" x14ac:dyDescent="0.3">
      <c r="A17" s="28" t="s">
        <v>20</v>
      </c>
      <c r="B17" s="29">
        <v>122</v>
      </c>
      <c r="D17" s="35" t="s">
        <v>42</v>
      </c>
      <c r="E17" s="16">
        <v>3000</v>
      </c>
      <c r="F17" s="4">
        <f>H69</f>
        <v>3000</v>
      </c>
      <c r="G17" s="17">
        <f t="shared" si="1"/>
        <v>0</v>
      </c>
      <c r="H17" s="18">
        <f t="shared" si="2"/>
        <v>3.0329070413991813E-2</v>
      </c>
      <c r="I17" s="19">
        <f t="shared" si="3"/>
        <v>1.6456390565002743</v>
      </c>
    </row>
    <row r="18" spans="1:9" ht="15.6" x14ac:dyDescent="0.3">
      <c r="A18" s="28" t="s">
        <v>21</v>
      </c>
      <c r="B18" s="29">
        <v>100</v>
      </c>
      <c r="D18" s="35" t="s">
        <v>43</v>
      </c>
      <c r="E18" s="16">
        <v>3500</v>
      </c>
      <c r="F18" s="4">
        <f t="shared" ref="F18:F23" si="4">H70</f>
        <v>3500</v>
      </c>
      <c r="G18" s="17">
        <f t="shared" si="1"/>
        <v>0</v>
      </c>
      <c r="H18" s="18">
        <f t="shared" si="2"/>
        <v>3.5383915482990448E-2</v>
      </c>
      <c r="I18" s="19">
        <f t="shared" si="3"/>
        <v>1.9199122325836533</v>
      </c>
    </row>
    <row r="19" spans="1:9" ht="15.6" x14ac:dyDescent="0.3">
      <c r="A19" s="28" t="s">
        <v>22</v>
      </c>
      <c r="B19" s="29">
        <v>322</v>
      </c>
      <c r="D19" s="35" t="s">
        <v>38</v>
      </c>
      <c r="E19" s="16">
        <v>2000</v>
      </c>
      <c r="F19" s="4">
        <f t="shared" si="4"/>
        <v>1200</v>
      </c>
      <c r="G19" s="17">
        <f t="shared" si="1"/>
        <v>800</v>
      </c>
      <c r="H19" s="18">
        <f t="shared" si="2"/>
        <v>1.2131628165596724E-2</v>
      </c>
      <c r="I19" s="19">
        <f t="shared" si="3"/>
        <v>0.65825562260010972</v>
      </c>
    </row>
    <row r="20" spans="1:9" ht="15.6" x14ac:dyDescent="0.3">
      <c r="A20" s="28" t="s">
        <v>23</v>
      </c>
      <c r="B20" s="29">
        <v>10</v>
      </c>
      <c r="D20" s="35" t="s">
        <v>44</v>
      </c>
      <c r="E20" s="16">
        <v>1800</v>
      </c>
      <c r="F20" s="4">
        <f t="shared" si="4"/>
        <v>1500</v>
      </c>
      <c r="G20" s="17">
        <f t="shared" si="1"/>
        <v>300</v>
      </c>
      <c r="H20" s="18">
        <f t="shared" si="2"/>
        <v>1.5164535206995906E-2</v>
      </c>
      <c r="I20" s="19">
        <f t="shared" si="3"/>
        <v>0.82281952825013716</v>
      </c>
    </row>
    <row r="21" spans="1:9" ht="15.6" x14ac:dyDescent="0.3">
      <c r="A21" s="36" t="s">
        <v>24</v>
      </c>
      <c r="B21" s="37">
        <f>L12</f>
        <v>1510.7336814138685</v>
      </c>
      <c r="D21" s="35" t="s">
        <v>45</v>
      </c>
      <c r="E21" s="16">
        <v>1860</v>
      </c>
      <c r="F21" s="4">
        <f t="shared" si="4"/>
        <v>1890</v>
      </c>
      <c r="G21" s="17">
        <f t="shared" si="1"/>
        <v>-30</v>
      </c>
      <c r="H21" s="18">
        <f t="shared" si="2"/>
        <v>1.910731436081484E-2</v>
      </c>
      <c r="I21" s="19">
        <f t="shared" si="3"/>
        <v>1.0367526055951728</v>
      </c>
    </row>
    <row r="22" spans="1:9" ht="15.6" x14ac:dyDescent="0.3">
      <c r="A22" s="28" t="s">
        <v>25</v>
      </c>
      <c r="B22" s="29">
        <v>478</v>
      </c>
      <c r="D22" s="35" t="s">
        <v>46</v>
      </c>
      <c r="E22" s="16"/>
      <c r="F22" s="4">
        <f t="shared" si="4"/>
        <v>0</v>
      </c>
      <c r="G22" s="17">
        <f t="shared" si="1"/>
        <v>0</v>
      </c>
      <c r="H22" s="18">
        <f t="shared" si="2"/>
        <v>0</v>
      </c>
      <c r="I22" s="19">
        <f t="shared" si="3"/>
        <v>0</v>
      </c>
    </row>
    <row r="23" spans="1:9" ht="15.6" x14ac:dyDescent="0.3">
      <c r="A23" s="28" t="s">
        <v>26</v>
      </c>
      <c r="B23" s="29">
        <v>250</v>
      </c>
      <c r="D23" s="35" t="s">
        <v>47</v>
      </c>
      <c r="E23" s="16">
        <v>1350</v>
      </c>
      <c r="F23" s="4">
        <f t="shared" si="4"/>
        <v>1000</v>
      </c>
      <c r="G23" s="17">
        <f t="shared" si="1"/>
        <v>350</v>
      </c>
      <c r="H23" s="18">
        <f t="shared" si="2"/>
        <v>1.0109690137997271E-2</v>
      </c>
      <c r="I23" s="19">
        <f t="shared" si="3"/>
        <v>0.54854635216675807</v>
      </c>
    </row>
    <row r="24" spans="1:9" ht="16.2" thickBot="1" x14ac:dyDescent="0.35">
      <c r="A24" s="25" t="s">
        <v>27</v>
      </c>
      <c r="B24" s="26">
        <f>B16*B6</f>
        <v>16756.40208848321</v>
      </c>
      <c r="D24" s="38" t="s">
        <v>50</v>
      </c>
      <c r="E24" s="39">
        <f>SUM(E5:E23)</f>
        <v>49310</v>
      </c>
      <c r="F24" s="39">
        <f>SUM(F5:F23)</f>
        <v>49787</v>
      </c>
      <c r="G24" s="40">
        <f t="shared" si="1"/>
        <v>-477</v>
      </c>
      <c r="H24" s="41">
        <f t="shared" si="2"/>
        <v>0.5033311429004701</v>
      </c>
      <c r="I24" s="42">
        <f t="shared" si="3"/>
        <v>27.310477235326385</v>
      </c>
    </row>
    <row r="25" spans="1:9" ht="13.95" customHeight="1" thickTop="1" x14ac:dyDescent="0.3">
      <c r="A25" s="43" t="s">
        <v>360</v>
      </c>
      <c r="B25" s="44">
        <f>E46</f>
        <v>94910</v>
      </c>
      <c r="D25" s="5" t="s">
        <v>48</v>
      </c>
      <c r="G25" s="17"/>
      <c r="H25" s="18"/>
      <c r="I25" s="19"/>
    </row>
    <row r="26" spans="1:9" ht="13.95" customHeight="1" thickBot="1" x14ac:dyDescent="0.35">
      <c r="A26" s="45" t="s">
        <v>28</v>
      </c>
      <c r="B26" s="46">
        <f>B7+B11+B24+B25</f>
        <v>652016.40208848321</v>
      </c>
      <c r="D26" s="47" t="str">
        <f t="shared" ref="D26:D36" si="5">D5</f>
        <v>Demolition</v>
      </c>
      <c r="E26" s="16">
        <v>700</v>
      </c>
      <c r="F26" s="4">
        <f>H77</f>
        <v>650</v>
      </c>
      <c r="G26" s="17">
        <f t="shared" si="1"/>
        <v>50</v>
      </c>
      <c r="H26" s="18">
        <f t="shared" si="2"/>
        <v>6.5712985896982257E-3</v>
      </c>
      <c r="I26" s="19">
        <f t="shared" si="3"/>
        <v>0.35655512890839275</v>
      </c>
    </row>
    <row r="27" spans="1:9" ht="16.2" thickTop="1" x14ac:dyDescent="0.3">
      <c r="A27" s="48" t="s">
        <v>30</v>
      </c>
      <c r="B27" s="49">
        <v>0.2</v>
      </c>
      <c r="D27" s="50" t="str">
        <f t="shared" si="5"/>
        <v>Framing</v>
      </c>
      <c r="E27" s="16">
        <v>6000</v>
      </c>
      <c r="F27" s="4">
        <f t="shared" ref="F27:F36" si="6">H78</f>
        <v>6174</v>
      </c>
      <c r="G27" s="17">
        <f t="shared" si="1"/>
        <v>-174</v>
      </c>
      <c r="H27" s="18">
        <f t="shared" si="2"/>
        <v>6.2417226911995145E-2</v>
      </c>
      <c r="I27" s="19">
        <f t="shared" si="3"/>
        <v>3.3867251782775645</v>
      </c>
    </row>
    <row r="28" spans="1:9" ht="15.6" x14ac:dyDescent="0.3">
      <c r="A28" s="51"/>
      <c r="B28" s="52">
        <f>B8*B27</f>
        <v>105000</v>
      </c>
      <c r="D28" s="50" t="str">
        <f t="shared" si="5"/>
        <v>Drywall, tape&amp;mudding</v>
      </c>
      <c r="E28" s="16">
        <v>3800</v>
      </c>
      <c r="F28" s="4">
        <f t="shared" si="6"/>
        <v>3756</v>
      </c>
      <c r="G28" s="17">
        <f t="shared" si="1"/>
        <v>44</v>
      </c>
      <c r="H28" s="18">
        <f t="shared" si="2"/>
        <v>3.7971996158317749E-2</v>
      </c>
      <c r="I28" s="19">
        <f t="shared" si="3"/>
        <v>2.0603400987383433</v>
      </c>
    </row>
    <row r="29" spans="1:9" ht="16.2" thickBot="1" x14ac:dyDescent="0.35">
      <c r="A29" s="53" t="s">
        <v>31</v>
      </c>
      <c r="B29" s="39">
        <f>B28+B25+B24+B16+B11+B10+B9</f>
        <v>234809.13576989708</v>
      </c>
      <c r="D29" s="50" t="str">
        <f t="shared" si="5"/>
        <v>Painting</v>
      </c>
      <c r="E29" s="16">
        <v>1000</v>
      </c>
      <c r="F29" s="4">
        <f t="shared" si="6"/>
        <v>792</v>
      </c>
      <c r="G29" s="17">
        <f t="shared" si="1"/>
        <v>208</v>
      </c>
      <c r="H29" s="18">
        <f t="shared" si="2"/>
        <v>8.0068745892938383E-3</v>
      </c>
      <c r="I29" s="19">
        <f t="shared" si="3"/>
        <v>0.4344487109160724</v>
      </c>
    </row>
    <row r="30" spans="1:9" ht="16.8" thickTop="1" thickBot="1" x14ac:dyDescent="0.35">
      <c r="A30" s="54" t="s">
        <v>359</v>
      </c>
      <c r="B30" s="55">
        <f>B5-B26</f>
        <v>72983.597911516787</v>
      </c>
      <c r="D30" s="50" t="str">
        <f t="shared" si="5"/>
        <v>Finish Carpentry</v>
      </c>
      <c r="E30" s="16">
        <v>4500</v>
      </c>
      <c r="F30" s="4">
        <f t="shared" si="6"/>
        <v>4227</v>
      </c>
      <c r="G30" s="17">
        <f t="shared" si="1"/>
        <v>273</v>
      </c>
      <c r="H30" s="18">
        <f t="shared" si="2"/>
        <v>4.2733660213314463E-2</v>
      </c>
      <c r="I30" s="19">
        <f t="shared" si="3"/>
        <v>2.3187054306088863</v>
      </c>
    </row>
    <row r="31" spans="1:9" ht="16.8" thickTop="1" thickBot="1" x14ac:dyDescent="0.35">
      <c r="A31" s="54" t="s">
        <v>32</v>
      </c>
      <c r="B31" s="56">
        <f>B30/B29</f>
        <v>0.31082094686059231</v>
      </c>
      <c r="D31" s="50" t="str">
        <f t="shared" si="5"/>
        <v>Kitchen cabinet</v>
      </c>
      <c r="E31" s="16">
        <v>12000</v>
      </c>
      <c r="F31" s="4">
        <f t="shared" si="6"/>
        <v>12000</v>
      </c>
      <c r="G31" s="17">
        <f t="shared" si="1"/>
        <v>0</v>
      </c>
      <c r="H31" s="18">
        <f t="shared" si="2"/>
        <v>0.12131628165596725</v>
      </c>
      <c r="I31" s="19">
        <f t="shared" si="3"/>
        <v>6.5825562260010972</v>
      </c>
    </row>
    <row r="32" spans="1:9" ht="14.4" thickTop="1" x14ac:dyDescent="0.25">
      <c r="D32" s="50" t="str">
        <f t="shared" si="5"/>
        <v>Bathroom</v>
      </c>
      <c r="E32" s="16">
        <v>2000</v>
      </c>
      <c r="F32" s="4">
        <f t="shared" si="6"/>
        <v>2518</v>
      </c>
      <c r="G32" s="17">
        <f t="shared" si="1"/>
        <v>-518</v>
      </c>
      <c r="H32" s="18">
        <f t="shared" si="2"/>
        <v>2.5456199767477126E-2</v>
      </c>
      <c r="I32" s="19">
        <f t="shared" si="3"/>
        <v>1.3812397147558968</v>
      </c>
    </row>
    <row r="33" spans="1:21" x14ac:dyDescent="0.25">
      <c r="A33" s="57"/>
      <c r="B33" s="58"/>
      <c r="D33" s="50" t="str">
        <f t="shared" si="5"/>
        <v>Floorinng, tiling</v>
      </c>
      <c r="E33" s="16">
        <v>3000</v>
      </c>
      <c r="F33" s="4">
        <f t="shared" si="6"/>
        <v>5678</v>
      </c>
      <c r="G33" s="17">
        <f t="shared" si="1"/>
        <v>-2678</v>
      </c>
      <c r="H33" s="18">
        <f t="shared" si="2"/>
        <v>5.7402820603548503E-2</v>
      </c>
      <c r="I33" s="19">
        <f t="shared" si="3"/>
        <v>3.1146461876028524</v>
      </c>
    </row>
    <row r="34" spans="1:21" x14ac:dyDescent="0.25">
      <c r="A34" s="57"/>
      <c r="B34" s="58"/>
      <c r="D34" s="50" t="str">
        <f t="shared" si="5"/>
        <v>HVAC</v>
      </c>
      <c r="E34" s="16">
        <v>500</v>
      </c>
      <c r="F34" s="4">
        <f t="shared" si="6"/>
        <v>350</v>
      </c>
      <c r="G34" s="17">
        <f t="shared" si="1"/>
        <v>150</v>
      </c>
      <c r="H34" s="18">
        <f t="shared" si="2"/>
        <v>3.5383915482990447E-3</v>
      </c>
      <c r="I34" s="19">
        <f t="shared" si="3"/>
        <v>0.19199122325836535</v>
      </c>
    </row>
    <row r="35" spans="1:21" x14ac:dyDescent="0.25">
      <c r="A35" s="57"/>
      <c r="B35" s="58"/>
      <c r="D35" s="50" t="str">
        <f t="shared" si="5"/>
        <v>Electriccal</v>
      </c>
      <c r="E35" s="16">
        <v>200</v>
      </c>
      <c r="F35" s="4">
        <f t="shared" si="6"/>
        <v>612</v>
      </c>
      <c r="G35" s="17">
        <f t="shared" si="1"/>
        <v>-412</v>
      </c>
      <c r="H35" s="18">
        <f t="shared" si="2"/>
        <v>6.1871303644543294E-3</v>
      </c>
      <c r="I35" s="19">
        <f t="shared" si="3"/>
        <v>0.33571036752605593</v>
      </c>
    </row>
    <row r="36" spans="1:21" x14ac:dyDescent="0.25">
      <c r="A36" s="57"/>
      <c r="B36" s="58"/>
      <c r="D36" s="50" t="str">
        <f t="shared" si="5"/>
        <v>Plumbing</v>
      </c>
      <c r="E36" s="16">
        <v>600</v>
      </c>
      <c r="F36" s="4">
        <f t="shared" si="6"/>
        <v>388</v>
      </c>
      <c r="G36" s="17">
        <f t="shared" si="1"/>
        <v>212</v>
      </c>
      <c r="H36" s="18">
        <f t="shared" si="2"/>
        <v>3.9225597735429406E-3</v>
      </c>
      <c r="I36" s="19">
        <f t="shared" si="3"/>
        <v>0.21283598464070214</v>
      </c>
    </row>
    <row r="37" spans="1:21" x14ac:dyDescent="0.25">
      <c r="A37" s="57"/>
      <c r="B37" s="58"/>
      <c r="D37" s="5" t="s">
        <v>49</v>
      </c>
      <c r="E37" s="34"/>
      <c r="G37" s="17"/>
      <c r="H37" s="18"/>
      <c r="I37" s="19"/>
    </row>
    <row r="38" spans="1:21" x14ac:dyDescent="0.25">
      <c r="A38" s="57"/>
      <c r="B38" s="58"/>
      <c r="D38" s="50" t="str">
        <f t="shared" ref="D38:D44" si="7">D17</f>
        <v>Landscaping</v>
      </c>
      <c r="E38" s="16">
        <v>2000</v>
      </c>
      <c r="F38" s="4">
        <f>H88</f>
        <v>2000</v>
      </c>
      <c r="G38" s="17">
        <f t="shared" si="1"/>
        <v>0</v>
      </c>
      <c r="H38" s="18">
        <f t="shared" si="2"/>
        <v>2.0219380275994542E-2</v>
      </c>
      <c r="I38" s="19">
        <f t="shared" si="3"/>
        <v>1.0970927043335161</v>
      </c>
    </row>
    <row r="39" spans="1:21" x14ac:dyDescent="0.25">
      <c r="A39" s="57"/>
      <c r="B39" s="58"/>
      <c r="D39" s="50" t="str">
        <f t="shared" si="7"/>
        <v>Siding</v>
      </c>
      <c r="E39" s="16">
        <v>3400</v>
      </c>
      <c r="F39" s="4">
        <f t="shared" ref="F39:F44" si="8">H89</f>
        <v>4178</v>
      </c>
      <c r="G39" s="17">
        <f t="shared" si="1"/>
        <v>-778</v>
      </c>
      <c r="H39" s="18">
        <f t="shared" si="2"/>
        <v>4.2238285396552597E-2</v>
      </c>
      <c r="I39" s="19">
        <f t="shared" si="3"/>
        <v>2.2918266593527155</v>
      </c>
    </row>
    <row r="40" spans="1:21" x14ac:dyDescent="0.25">
      <c r="A40" s="57"/>
      <c r="B40" s="58"/>
      <c r="D40" s="50" t="str">
        <f t="shared" si="7"/>
        <v>Painting</v>
      </c>
      <c r="E40" s="16">
        <v>500</v>
      </c>
      <c r="F40" s="4">
        <f t="shared" si="8"/>
        <v>500</v>
      </c>
      <c r="G40" s="17">
        <f t="shared" si="1"/>
        <v>0</v>
      </c>
      <c r="H40" s="18">
        <f t="shared" si="2"/>
        <v>5.0548450689986354E-3</v>
      </c>
      <c r="I40" s="19">
        <f t="shared" si="3"/>
        <v>0.27427317608337903</v>
      </c>
    </row>
    <row r="41" spans="1:21" x14ac:dyDescent="0.25">
      <c r="A41" s="57"/>
      <c r="B41" s="58"/>
      <c r="D41" s="50" t="str">
        <f t="shared" si="7"/>
        <v>Deck</v>
      </c>
      <c r="E41" s="16">
        <v>2700</v>
      </c>
      <c r="F41" s="4">
        <f t="shared" si="8"/>
        <v>2000</v>
      </c>
      <c r="G41" s="17">
        <f t="shared" si="1"/>
        <v>700</v>
      </c>
      <c r="H41" s="18">
        <f t="shared" si="2"/>
        <v>2.0219380275994542E-2</v>
      </c>
      <c r="I41" s="19">
        <f t="shared" si="3"/>
        <v>1.0970927043335161</v>
      </c>
    </row>
    <row r="42" spans="1:21" x14ac:dyDescent="0.25">
      <c r="A42" s="57"/>
      <c r="B42" s="58"/>
      <c r="D42" s="50" t="str">
        <f t="shared" si="7"/>
        <v>Fence</v>
      </c>
      <c r="E42" s="16">
        <v>1800</v>
      </c>
      <c r="F42" s="4">
        <f t="shared" si="8"/>
        <v>2250</v>
      </c>
      <c r="G42" s="17">
        <f t="shared" si="1"/>
        <v>-450</v>
      </c>
      <c r="H42" s="18">
        <f t="shared" si="2"/>
        <v>2.274680281049386E-2</v>
      </c>
      <c r="I42" s="19">
        <f t="shared" si="3"/>
        <v>1.2342292923752056</v>
      </c>
    </row>
    <row r="43" spans="1:21" x14ac:dyDescent="0.25">
      <c r="A43" s="57"/>
      <c r="B43" s="58"/>
      <c r="D43" s="50" t="str">
        <f t="shared" si="7"/>
        <v>Driveway</v>
      </c>
      <c r="E43" s="16"/>
      <c r="F43" s="4">
        <f t="shared" si="8"/>
        <v>0</v>
      </c>
      <c r="G43" s="17">
        <f t="shared" si="1"/>
        <v>0</v>
      </c>
      <c r="H43" s="18">
        <f t="shared" si="2"/>
        <v>0</v>
      </c>
      <c r="I43" s="19">
        <f t="shared" si="3"/>
        <v>0</v>
      </c>
    </row>
    <row r="44" spans="1:21" x14ac:dyDescent="0.25">
      <c r="A44" s="57"/>
      <c r="B44" s="58"/>
      <c r="D44" s="50" t="str">
        <f t="shared" si="7"/>
        <v>Roofing</v>
      </c>
      <c r="E44" s="16">
        <v>900</v>
      </c>
      <c r="F44" s="4">
        <f t="shared" si="8"/>
        <v>1055</v>
      </c>
      <c r="G44" s="17">
        <f t="shared" si="1"/>
        <v>-155</v>
      </c>
      <c r="H44" s="18">
        <f t="shared" si="2"/>
        <v>1.066572309558712E-2</v>
      </c>
      <c r="I44" s="19">
        <f t="shared" si="3"/>
        <v>0.57871640153592974</v>
      </c>
    </row>
    <row r="45" spans="1:21" ht="14.4" thickBot="1" x14ac:dyDescent="0.3">
      <c r="A45" s="57"/>
      <c r="B45" s="58"/>
      <c r="D45" s="38" t="s">
        <v>51</v>
      </c>
      <c r="E45" s="39">
        <f>SUM(E26:E44)</f>
        <v>45600</v>
      </c>
      <c r="F45" s="39">
        <f>SUM(F26:F44)</f>
        <v>49128</v>
      </c>
      <c r="G45" s="40">
        <f t="shared" si="1"/>
        <v>-3528</v>
      </c>
      <c r="H45" s="41">
        <f t="shared" si="2"/>
        <v>0.4966688570995299</v>
      </c>
      <c r="I45" s="42">
        <f t="shared" si="3"/>
        <v>26.948985189248493</v>
      </c>
    </row>
    <row r="46" spans="1:21" ht="15" thickTop="1" thickBot="1" x14ac:dyDescent="0.3">
      <c r="A46" s="57"/>
      <c r="B46" s="58"/>
      <c r="D46" s="59" t="s">
        <v>52</v>
      </c>
      <c r="E46" s="55">
        <f>E45+E24</f>
        <v>94910</v>
      </c>
      <c r="F46" s="55">
        <f>F45+F24</f>
        <v>98915</v>
      </c>
      <c r="G46" s="60">
        <f t="shared" si="1"/>
        <v>-4005</v>
      </c>
      <c r="H46" s="61"/>
      <c r="I46" s="62">
        <f t="shared" si="3"/>
        <v>54.259462424574878</v>
      </c>
    </row>
    <row r="47" spans="1:21" ht="15" thickTop="1" thickBot="1" x14ac:dyDescent="0.3">
      <c r="A47" s="63" t="s">
        <v>72</v>
      </c>
      <c r="B47" s="5"/>
      <c r="L47" s="64" t="s">
        <v>369</v>
      </c>
    </row>
    <row r="48" spans="1:21" s="72" customFormat="1" ht="28.2" thickBot="1" x14ac:dyDescent="0.3">
      <c r="A48" s="214" t="s">
        <v>0</v>
      </c>
      <c r="B48" s="215"/>
      <c r="C48" s="65" t="s">
        <v>1</v>
      </c>
      <c r="D48" s="66" t="s">
        <v>2</v>
      </c>
      <c r="E48" s="67" t="s">
        <v>55</v>
      </c>
      <c r="F48" s="68" t="s">
        <v>57</v>
      </c>
      <c r="G48" s="69" t="s">
        <v>5</v>
      </c>
      <c r="H48" s="66" t="s">
        <v>6</v>
      </c>
      <c r="I48" s="70" t="s">
        <v>3</v>
      </c>
      <c r="J48" s="68" t="s">
        <v>4</v>
      </c>
      <c r="K48" s="71"/>
      <c r="L48" s="214" t="s">
        <v>0</v>
      </c>
      <c r="M48" s="215"/>
      <c r="N48" s="65" t="s">
        <v>1</v>
      </c>
      <c r="O48" s="66" t="s">
        <v>2</v>
      </c>
      <c r="P48" s="67" t="s">
        <v>55</v>
      </c>
      <c r="Q48" s="68" t="s">
        <v>57</v>
      </c>
      <c r="R48" s="69" t="s">
        <v>5</v>
      </c>
      <c r="S48" s="66" t="s">
        <v>6</v>
      </c>
      <c r="T48" s="70" t="s">
        <v>3</v>
      </c>
      <c r="U48" s="68" t="s">
        <v>4</v>
      </c>
    </row>
    <row r="49" spans="1:21" x14ac:dyDescent="0.25">
      <c r="A49" s="216" t="s">
        <v>58</v>
      </c>
      <c r="B49" s="217"/>
      <c r="C49" s="73">
        <v>43842</v>
      </c>
      <c r="D49" s="74">
        <v>18000</v>
      </c>
      <c r="E49" s="75">
        <v>7.4899999999999994E-2</v>
      </c>
      <c r="F49" s="76">
        <v>6</v>
      </c>
      <c r="G49" s="77" t="s">
        <v>56</v>
      </c>
      <c r="H49" s="74">
        <f>(D49*E49/12)*F49</f>
        <v>674.09999999999991</v>
      </c>
      <c r="I49" s="78"/>
      <c r="J49" s="79"/>
      <c r="L49" s="218"/>
      <c r="M49" s="217"/>
      <c r="N49" s="73"/>
      <c r="O49" s="74"/>
      <c r="P49" s="75"/>
      <c r="Q49" s="76"/>
      <c r="R49" s="77"/>
      <c r="S49" s="74">
        <f>(O49*P49/12)*Q49</f>
        <v>0</v>
      </c>
      <c r="T49" s="78"/>
      <c r="U49" s="79"/>
    </row>
    <row r="50" spans="1:21" x14ac:dyDescent="0.25">
      <c r="A50" s="208" t="s">
        <v>59</v>
      </c>
      <c r="B50" s="209"/>
      <c r="C50" s="80">
        <v>43861</v>
      </c>
      <c r="D50" s="81">
        <v>3200</v>
      </c>
      <c r="E50" s="82">
        <v>0.19989999999999999</v>
      </c>
      <c r="F50" s="83">
        <v>5</v>
      </c>
      <c r="G50" s="84"/>
      <c r="H50" s="74">
        <f t="shared" ref="H50:H56" si="9">(D50*E50/12)*F50</f>
        <v>266.5333333333333</v>
      </c>
      <c r="I50" s="85"/>
      <c r="J50" s="86"/>
      <c r="L50" s="210"/>
      <c r="M50" s="209"/>
      <c r="N50" s="80"/>
      <c r="O50" s="81"/>
      <c r="P50" s="82"/>
      <c r="Q50" s="83"/>
      <c r="R50" s="84"/>
      <c r="S50" s="74">
        <f t="shared" ref="S50" si="10">(O50*P50/12)*Q50</f>
        <v>0</v>
      </c>
      <c r="T50" s="85"/>
      <c r="U50" s="86"/>
    </row>
    <row r="51" spans="1:21" x14ac:dyDescent="0.25">
      <c r="A51" s="208" t="s">
        <v>60</v>
      </c>
      <c r="B51" s="209"/>
      <c r="C51" s="80">
        <v>43889</v>
      </c>
      <c r="D51" s="81">
        <v>38000</v>
      </c>
      <c r="E51" s="82">
        <v>0.12</v>
      </c>
      <c r="F51" s="83">
        <v>5</v>
      </c>
      <c r="G51" s="84"/>
      <c r="H51" s="74">
        <f>(D51*E51/12)*F51</f>
        <v>1900</v>
      </c>
      <c r="I51" s="85"/>
      <c r="J51" s="86"/>
      <c r="L51" s="210"/>
      <c r="M51" s="209"/>
      <c r="N51" s="80"/>
      <c r="O51" s="81"/>
      <c r="P51" s="82"/>
      <c r="Q51" s="83"/>
      <c r="R51" s="84"/>
      <c r="S51" s="74">
        <f>(O51*P51/12)*Q51</f>
        <v>0</v>
      </c>
      <c r="T51" s="85"/>
      <c r="U51" s="86"/>
    </row>
    <row r="52" spans="1:21" x14ac:dyDescent="0.25">
      <c r="A52" s="208" t="s">
        <v>59</v>
      </c>
      <c r="B52" s="209"/>
      <c r="C52" s="80">
        <v>43889</v>
      </c>
      <c r="D52" s="81">
        <v>750</v>
      </c>
      <c r="E52" s="82">
        <v>0.19989999999999999</v>
      </c>
      <c r="F52" s="83">
        <v>3</v>
      </c>
      <c r="G52" s="84"/>
      <c r="H52" s="74">
        <f t="shared" si="9"/>
        <v>37.481249999999996</v>
      </c>
      <c r="I52" s="85"/>
      <c r="J52" s="86"/>
      <c r="L52" s="210"/>
      <c r="M52" s="209"/>
      <c r="N52" s="80"/>
      <c r="O52" s="81"/>
      <c r="P52" s="82"/>
      <c r="Q52" s="83"/>
      <c r="R52" s="84"/>
      <c r="S52" s="74">
        <f t="shared" ref="S52:S56" si="11">(O52*P52/12)*Q52</f>
        <v>0</v>
      </c>
      <c r="T52" s="85"/>
      <c r="U52" s="86"/>
    </row>
    <row r="53" spans="1:21" x14ac:dyDescent="0.25">
      <c r="A53" s="208" t="s">
        <v>58</v>
      </c>
      <c r="B53" s="209"/>
      <c r="C53" s="80">
        <v>43900</v>
      </c>
      <c r="D53" s="81">
        <v>4000</v>
      </c>
      <c r="E53" s="82">
        <v>7.4899999999999994E-2</v>
      </c>
      <c r="F53" s="83">
        <v>3</v>
      </c>
      <c r="G53" s="84"/>
      <c r="H53" s="74">
        <f t="shared" si="9"/>
        <v>74.899999999999991</v>
      </c>
      <c r="I53" s="85"/>
      <c r="J53" s="86"/>
      <c r="L53" s="210"/>
      <c r="M53" s="209"/>
      <c r="N53" s="80"/>
      <c r="O53" s="81"/>
      <c r="P53" s="82"/>
      <c r="Q53" s="83"/>
      <c r="R53" s="84"/>
      <c r="S53" s="74">
        <f t="shared" si="11"/>
        <v>0</v>
      </c>
      <c r="T53" s="85"/>
      <c r="U53" s="86"/>
    </row>
    <row r="54" spans="1:21" x14ac:dyDescent="0.25">
      <c r="A54" s="208" t="s">
        <v>59</v>
      </c>
      <c r="B54" s="209"/>
      <c r="C54" s="80">
        <v>43921</v>
      </c>
      <c r="D54" s="81">
        <v>1000</v>
      </c>
      <c r="E54" s="82">
        <v>0.19989999999999999</v>
      </c>
      <c r="F54" s="83">
        <v>2</v>
      </c>
      <c r="G54" s="84"/>
      <c r="H54" s="81">
        <f t="shared" si="9"/>
        <v>33.31666666666667</v>
      </c>
      <c r="I54" s="85"/>
      <c r="J54" s="86"/>
      <c r="L54" s="210"/>
      <c r="M54" s="209"/>
      <c r="N54" s="80"/>
      <c r="O54" s="81"/>
      <c r="P54" s="82"/>
      <c r="Q54" s="83"/>
      <c r="R54" s="84"/>
      <c r="S54" s="81">
        <f t="shared" si="11"/>
        <v>0</v>
      </c>
      <c r="T54" s="85"/>
      <c r="U54" s="86"/>
    </row>
    <row r="55" spans="1:21" x14ac:dyDescent="0.25">
      <c r="A55" s="208"/>
      <c r="B55" s="209"/>
      <c r="C55" s="87"/>
      <c r="D55" s="81"/>
      <c r="E55" s="82"/>
      <c r="F55" s="83"/>
      <c r="G55" s="88"/>
      <c r="H55" s="81">
        <f t="shared" si="9"/>
        <v>0</v>
      </c>
      <c r="I55" s="85"/>
      <c r="J55" s="86"/>
      <c r="L55" s="210"/>
      <c r="M55" s="209"/>
      <c r="N55" s="87"/>
      <c r="O55" s="81"/>
      <c r="P55" s="82"/>
      <c r="Q55" s="83"/>
      <c r="R55" s="88"/>
      <c r="S55" s="81">
        <f t="shared" si="11"/>
        <v>0</v>
      </c>
      <c r="T55" s="85"/>
      <c r="U55" s="86"/>
    </row>
    <row r="56" spans="1:21" ht="14.4" thickBot="1" x14ac:dyDescent="0.3">
      <c r="A56" s="202"/>
      <c r="B56" s="203"/>
      <c r="C56" s="89"/>
      <c r="D56" s="90"/>
      <c r="E56" s="91"/>
      <c r="F56" s="92"/>
      <c r="G56" s="84"/>
      <c r="H56" s="81">
        <f t="shared" si="9"/>
        <v>0</v>
      </c>
      <c r="I56" s="85"/>
      <c r="J56" s="86"/>
      <c r="L56" s="204"/>
      <c r="M56" s="203"/>
      <c r="N56" s="93"/>
      <c r="O56" s="94"/>
      <c r="P56" s="95"/>
      <c r="Q56" s="96"/>
      <c r="R56" s="97"/>
      <c r="S56" s="94">
        <f t="shared" si="11"/>
        <v>0</v>
      </c>
      <c r="T56" s="98"/>
      <c r="U56" s="99"/>
    </row>
    <row r="57" spans="1:21" x14ac:dyDescent="0.25">
      <c r="A57" s="100" t="s">
        <v>370</v>
      </c>
      <c r="B57" s="57"/>
      <c r="C57" s="101" t="s">
        <v>7</v>
      </c>
      <c r="D57" s="102">
        <f>SUM(D49:D56,O49:O56)</f>
        <v>64950</v>
      </c>
      <c r="E57" s="103"/>
      <c r="F57" s="104"/>
      <c r="G57" s="205" t="s">
        <v>62</v>
      </c>
      <c r="H57" s="206"/>
      <c r="I57" s="206"/>
      <c r="J57" s="207"/>
    </row>
    <row r="58" spans="1:21" ht="14.4" thickBot="1" x14ac:dyDescent="0.3">
      <c r="B58" s="5"/>
      <c r="C58" s="105"/>
      <c r="D58" s="94"/>
      <c r="E58" s="98"/>
      <c r="F58" s="106"/>
      <c r="G58" s="107" t="str">
        <f t="shared" ref="G58:G68" si="12">D5</f>
        <v>Demolition</v>
      </c>
      <c r="H58" s="81">
        <f>G122</f>
        <v>3000</v>
      </c>
      <c r="I58" s="85"/>
      <c r="J58" s="86">
        <f t="shared" ref="J58:J83" si="13">(H58*0.05)</f>
        <v>150</v>
      </c>
    </row>
    <row r="59" spans="1:21" x14ac:dyDescent="0.25">
      <c r="B59" s="5"/>
      <c r="E59" s="5"/>
      <c r="F59" s="5"/>
      <c r="G59" s="108" t="str">
        <f t="shared" si="12"/>
        <v>Framing</v>
      </c>
      <c r="H59" s="81">
        <f>G147</f>
        <v>4034</v>
      </c>
      <c r="I59" s="85"/>
      <c r="J59" s="86">
        <f t="shared" si="13"/>
        <v>201.70000000000002</v>
      </c>
    </row>
    <row r="60" spans="1:21" x14ac:dyDescent="0.25">
      <c r="A60" s="109"/>
      <c r="B60" s="5"/>
      <c r="E60" s="5"/>
      <c r="F60" s="5"/>
      <c r="G60" s="108" t="str">
        <f t="shared" si="12"/>
        <v>Drywall, tape&amp;mudding</v>
      </c>
      <c r="H60" s="81">
        <f>G172</f>
        <v>2560</v>
      </c>
      <c r="I60" s="85"/>
      <c r="J60" s="86">
        <f t="shared" si="13"/>
        <v>128</v>
      </c>
      <c r="M60" s="19"/>
      <c r="N60" s="19"/>
      <c r="O60" s="110"/>
    </row>
    <row r="61" spans="1:21" x14ac:dyDescent="0.25">
      <c r="B61" s="5"/>
      <c r="E61" s="5"/>
      <c r="F61" s="5"/>
      <c r="G61" s="108" t="str">
        <f t="shared" si="12"/>
        <v>Painting</v>
      </c>
      <c r="H61" s="81">
        <f>G197</f>
        <v>2040</v>
      </c>
      <c r="I61" s="85"/>
      <c r="J61" s="86">
        <f t="shared" si="13"/>
        <v>102</v>
      </c>
    </row>
    <row r="62" spans="1:21" x14ac:dyDescent="0.25">
      <c r="B62" s="5"/>
      <c r="E62" s="5"/>
      <c r="F62" s="5"/>
      <c r="G62" s="108" t="str">
        <f t="shared" si="12"/>
        <v>Finish Carpentry</v>
      </c>
      <c r="H62" s="81">
        <f>G222</f>
        <v>4603</v>
      </c>
      <c r="I62" s="85"/>
      <c r="J62" s="86">
        <f t="shared" si="13"/>
        <v>230.15</v>
      </c>
    </row>
    <row r="63" spans="1:21" x14ac:dyDescent="0.25">
      <c r="B63" s="5"/>
      <c r="E63" s="5"/>
      <c r="F63" s="5"/>
      <c r="G63" s="108" t="str">
        <f t="shared" si="12"/>
        <v>Kitchen cabinet</v>
      </c>
      <c r="H63" s="81">
        <f>G247</f>
        <v>6560</v>
      </c>
      <c r="I63" s="85"/>
      <c r="J63" s="86">
        <f t="shared" si="13"/>
        <v>328</v>
      </c>
    </row>
    <row r="64" spans="1:21" x14ac:dyDescent="0.25">
      <c r="B64" s="5"/>
      <c r="E64" s="5"/>
      <c r="F64" s="5"/>
      <c r="G64" s="108" t="str">
        <f t="shared" si="12"/>
        <v>Bathroom</v>
      </c>
      <c r="H64" s="81">
        <f>G272</f>
        <v>3260</v>
      </c>
      <c r="I64" s="85"/>
      <c r="J64" s="86">
        <f t="shared" si="13"/>
        <v>163</v>
      </c>
    </row>
    <row r="65" spans="2:10" x14ac:dyDescent="0.25">
      <c r="B65" s="5"/>
      <c r="E65" s="5"/>
      <c r="F65" s="5"/>
      <c r="G65" s="108" t="str">
        <f t="shared" si="12"/>
        <v>Floorinng, tiling</v>
      </c>
      <c r="H65" s="81">
        <f>G297</f>
        <v>3500</v>
      </c>
      <c r="I65" s="85"/>
      <c r="J65" s="86">
        <f t="shared" si="13"/>
        <v>175</v>
      </c>
    </row>
    <row r="66" spans="2:10" x14ac:dyDescent="0.25">
      <c r="B66" s="5"/>
      <c r="E66" s="5"/>
      <c r="F66" s="5"/>
      <c r="G66" s="108" t="str">
        <f t="shared" si="12"/>
        <v>HVAC</v>
      </c>
      <c r="H66" s="81">
        <f>G322</f>
        <v>2900</v>
      </c>
      <c r="I66" s="85"/>
      <c r="J66" s="86">
        <f t="shared" si="13"/>
        <v>145</v>
      </c>
    </row>
    <row r="67" spans="2:10" x14ac:dyDescent="0.25">
      <c r="B67" s="5"/>
      <c r="E67" s="5"/>
      <c r="F67" s="5"/>
      <c r="G67" s="108" t="str">
        <f t="shared" si="12"/>
        <v>Electriccal</v>
      </c>
      <c r="H67" s="81">
        <f>G347</f>
        <v>2560</v>
      </c>
      <c r="I67" s="85"/>
      <c r="J67" s="86">
        <f t="shared" si="13"/>
        <v>128</v>
      </c>
    </row>
    <row r="68" spans="2:10" x14ac:dyDescent="0.25">
      <c r="B68" s="5"/>
      <c r="E68" s="5"/>
      <c r="F68" s="5"/>
      <c r="G68" s="108" t="str">
        <f t="shared" si="12"/>
        <v>Plumbing</v>
      </c>
      <c r="H68" s="81">
        <f>G372</f>
        <v>2680</v>
      </c>
      <c r="I68" s="85"/>
      <c r="J68" s="86">
        <f t="shared" si="13"/>
        <v>134</v>
      </c>
    </row>
    <row r="69" spans="2:10" x14ac:dyDescent="0.25">
      <c r="B69" s="5"/>
      <c r="E69" s="5"/>
      <c r="F69" s="5"/>
      <c r="G69" s="108" t="str">
        <f t="shared" ref="G69:G75" si="14">D17</f>
        <v>Landscaping</v>
      </c>
      <c r="H69" s="81">
        <f>G397</f>
        <v>3000</v>
      </c>
      <c r="I69" s="85"/>
      <c r="J69" s="86">
        <f t="shared" si="13"/>
        <v>150</v>
      </c>
    </row>
    <row r="70" spans="2:10" x14ac:dyDescent="0.25">
      <c r="B70" s="5"/>
      <c r="E70" s="5"/>
      <c r="F70" s="5"/>
      <c r="G70" s="108" t="str">
        <f t="shared" si="14"/>
        <v>Siding</v>
      </c>
      <c r="H70" s="81">
        <f>G422</f>
        <v>3500</v>
      </c>
      <c r="I70" s="85"/>
      <c r="J70" s="86">
        <f t="shared" si="13"/>
        <v>175</v>
      </c>
    </row>
    <row r="71" spans="2:10" x14ac:dyDescent="0.25">
      <c r="B71" s="5"/>
      <c r="E71" s="5"/>
      <c r="F71" s="5"/>
      <c r="G71" s="108" t="str">
        <f t="shared" si="14"/>
        <v>Painting</v>
      </c>
      <c r="H71" s="81">
        <f>G447</f>
        <v>1200</v>
      </c>
      <c r="I71" s="85"/>
      <c r="J71" s="86">
        <f t="shared" si="13"/>
        <v>60</v>
      </c>
    </row>
    <row r="72" spans="2:10" x14ac:dyDescent="0.25">
      <c r="B72" s="5"/>
      <c r="E72" s="5"/>
      <c r="F72" s="5"/>
      <c r="G72" s="108" t="str">
        <f t="shared" si="14"/>
        <v>Deck</v>
      </c>
      <c r="H72" s="81">
        <f>G472</f>
        <v>1500</v>
      </c>
      <c r="I72" s="85"/>
      <c r="J72" s="86">
        <f t="shared" si="13"/>
        <v>75</v>
      </c>
    </row>
    <row r="73" spans="2:10" x14ac:dyDescent="0.25">
      <c r="B73" s="5"/>
      <c r="E73" s="5"/>
      <c r="F73" s="5"/>
      <c r="G73" s="111" t="str">
        <f t="shared" si="14"/>
        <v>Fence</v>
      </c>
      <c r="H73" s="90">
        <f>G497</f>
        <v>1890</v>
      </c>
      <c r="I73" s="85"/>
      <c r="J73" s="86">
        <f t="shared" si="13"/>
        <v>94.5</v>
      </c>
    </row>
    <row r="74" spans="2:10" x14ac:dyDescent="0.25">
      <c r="B74" s="5"/>
      <c r="E74" s="5"/>
      <c r="F74" s="5"/>
      <c r="G74" s="111" t="str">
        <f t="shared" si="14"/>
        <v>Driveway</v>
      </c>
      <c r="H74" s="90">
        <f>G522</f>
        <v>0</v>
      </c>
      <c r="I74" s="85"/>
      <c r="J74" s="86">
        <f t="shared" si="13"/>
        <v>0</v>
      </c>
    </row>
    <row r="75" spans="2:10" x14ac:dyDescent="0.25">
      <c r="B75" s="5"/>
      <c r="E75" s="5"/>
      <c r="F75" s="5"/>
      <c r="G75" s="111" t="str">
        <f t="shared" si="14"/>
        <v>Roofing</v>
      </c>
      <c r="H75" s="90">
        <f>G547</f>
        <v>1000</v>
      </c>
      <c r="I75" s="85"/>
      <c r="J75" s="86">
        <f t="shared" si="13"/>
        <v>50</v>
      </c>
    </row>
    <row r="76" spans="2:10" x14ac:dyDescent="0.25">
      <c r="B76" s="5"/>
      <c r="E76" s="5"/>
      <c r="F76" s="5"/>
      <c r="G76" s="205" t="s">
        <v>63</v>
      </c>
      <c r="H76" s="206"/>
      <c r="I76" s="206"/>
      <c r="J76" s="207"/>
    </row>
    <row r="77" spans="2:10" x14ac:dyDescent="0.25">
      <c r="B77" s="5"/>
      <c r="E77" s="5"/>
      <c r="F77" s="5"/>
      <c r="G77" s="112" t="str">
        <f t="shared" ref="G77:G87" si="15">D26</f>
        <v>Demolition</v>
      </c>
      <c r="H77" s="90">
        <f>G138</f>
        <v>650</v>
      </c>
      <c r="I77" s="85">
        <f t="shared" ref="I77:I83" si="16">(H77*0.07)</f>
        <v>45.500000000000007</v>
      </c>
      <c r="J77" s="86">
        <f t="shared" si="13"/>
        <v>32.5</v>
      </c>
    </row>
    <row r="78" spans="2:10" x14ac:dyDescent="0.25">
      <c r="B78" s="5"/>
      <c r="E78" s="5"/>
      <c r="F78" s="5"/>
      <c r="G78" s="111" t="str">
        <f t="shared" si="15"/>
        <v>Framing</v>
      </c>
      <c r="H78" s="90">
        <f>G163</f>
        <v>6174</v>
      </c>
      <c r="I78" s="85">
        <f t="shared" si="16"/>
        <v>432.18000000000006</v>
      </c>
      <c r="J78" s="86">
        <f t="shared" si="13"/>
        <v>308.70000000000005</v>
      </c>
    </row>
    <row r="79" spans="2:10" x14ac:dyDescent="0.25">
      <c r="B79" s="5"/>
      <c r="E79" s="5"/>
      <c r="F79" s="5"/>
      <c r="G79" s="111" t="str">
        <f t="shared" si="15"/>
        <v>Drywall, tape&amp;mudding</v>
      </c>
      <c r="H79" s="90">
        <f>G188</f>
        <v>3756</v>
      </c>
      <c r="I79" s="85">
        <f t="shared" si="16"/>
        <v>262.92</v>
      </c>
      <c r="J79" s="86">
        <f t="shared" si="13"/>
        <v>187.8</v>
      </c>
    </row>
    <row r="80" spans="2:10" x14ac:dyDescent="0.25">
      <c r="B80" s="5"/>
      <c r="E80" s="5"/>
      <c r="F80" s="5"/>
      <c r="G80" s="111" t="str">
        <f t="shared" si="15"/>
        <v>Painting</v>
      </c>
      <c r="H80" s="90">
        <f>G213</f>
        <v>792</v>
      </c>
      <c r="I80" s="85">
        <f t="shared" si="16"/>
        <v>55.440000000000005</v>
      </c>
      <c r="J80" s="86">
        <f t="shared" si="13"/>
        <v>39.6</v>
      </c>
    </row>
    <row r="81" spans="2:12" x14ac:dyDescent="0.25">
      <c r="B81" s="5"/>
      <c r="E81" s="5"/>
      <c r="F81" s="5"/>
      <c r="G81" s="111" t="str">
        <f t="shared" si="15"/>
        <v>Finish Carpentry</v>
      </c>
      <c r="H81" s="90">
        <f>G238</f>
        <v>4227</v>
      </c>
      <c r="I81" s="85">
        <f t="shared" si="16"/>
        <v>295.89000000000004</v>
      </c>
      <c r="J81" s="113">
        <f t="shared" si="13"/>
        <v>211.35000000000002</v>
      </c>
    </row>
    <row r="82" spans="2:12" x14ac:dyDescent="0.25">
      <c r="B82" s="5"/>
      <c r="E82" s="5"/>
      <c r="F82" s="5"/>
      <c r="G82" s="111" t="str">
        <f t="shared" si="15"/>
        <v>Kitchen cabinet</v>
      </c>
      <c r="H82" s="90">
        <f>G263</f>
        <v>12000</v>
      </c>
      <c r="I82" s="85">
        <f t="shared" si="16"/>
        <v>840.00000000000011</v>
      </c>
      <c r="J82" s="113">
        <f t="shared" si="13"/>
        <v>600</v>
      </c>
    </row>
    <row r="83" spans="2:12" x14ac:dyDescent="0.25">
      <c r="B83" s="5"/>
      <c r="E83" s="5"/>
      <c r="F83" s="5"/>
      <c r="G83" s="111" t="str">
        <f t="shared" si="15"/>
        <v>Bathroom</v>
      </c>
      <c r="H83" s="90">
        <f>G288</f>
        <v>2518</v>
      </c>
      <c r="I83" s="85">
        <f t="shared" si="16"/>
        <v>176.26000000000002</v>
      </c>
      <c r="J83" s="113">
        <f t="shared" si="13"/>
        <v>125.9</v>
      </c>
    </row>
    <row r="84" spans="2:12" x14ac:dyDescent="0.25">
      <c r="B84" s="5"/>
      <c r="E84" s="5"/>
      <c r="F84" s="5"/>
      <c r="G84" s="111" t="str">
        <f t="shared" si="15"/>
        <v>Floorinng, tiling</v>
      </c>
      <c r="H84" s="90">
        <f>G313</f>
        <v>5678</v>
      </c>
      <c r="I84" s="114">
        <f>H84*7%</f>
        <v>397.46000000000004</v>
      </c>
      <c r="J84" s="113">
        <f>H84*5%</f>
        <v>283.90000000000003</v>
      </c>
    </row>
    <row r="85" spans="2:12" x14ac:dyDescent="0.25">
      <c r="B85" s="5"/>
      <c r="E85" s="5"/>
      <c r="F85" s="5"/>
      <c r="G85" s="111" t="str">
        <f t="shared" si="15"/>
        <v>HVAC</v>
      </c>
      <c r="H85" s="90">
        <f>G338</f>
        <v>350</v>
      </c>
      <c r="I85" s="114">
        <f t="shared" ref="I85:I94" si="17">H85*7%</f>
        <v>24.500000000000004</v>
      </c>
      <c r="J85" s="113">
        <f t="shared" ref="J85:J94" si="18">H85*5%</f>
        <v>17.5</v>
      </c>
    </row>
    <row r="86" spans="2:12" x14ac:dyDescent="0.25">
      <c r="B86" s="5"/>
      <c r="E86" s="5"/>
      <c r="F86" s="5"/>
      <c r="G86" s="111" t="str">
        <f t="shared" si="15"/>
        <v>Electriccal</v>
      </c>
      <c r="H86" s="90">
        <f>G363</f>
        <v>612</v>
      </c>
      <c r="I86" s="114">
        <f t="shared" si="17"/>
        <v>42.84</v>
      </c>
      <c r="J86" s="113">
        <f t="shared" si="18"/>
        <v>30.6</v>
      </c>
    </row>
    <row r="87" spans="2:12" x14ac:dyDescent="0.25">
      <c r="B87" s="5"/>
      <c r="E87" s="5"/>
      <c r="F87" s="5"/>
      <c r="G87" s="111" t="str">
        <f t="shared" si="15"/>
        <v>Plumbing</v>
      </c>
      <c r="H87" s="90">
        <f>G388</f>
        <v>388</v>
      </c>
      <c r="I87" s="114">
        <f t="shared" si="17"/>
        <v>27.160000000000004</v>
      </c>
      <c r="J87" s="113">
        <f t="shared" si="18"/>
        <v>19.400000000000002</v>
      </c>
    </row>
    <row r="88" spans="2:12" x14ac:dyDescent="0.25">
      <c r="B88" s="5"/>
      <c r="E88" s="5"/>
      <c r="F88" s="5"/>
      <c r="G88" s="111" t="str">
        <f t="shared" ref="G88:G94" si="19">D38</f>
        <v>Landscaping</v>
      </c>
      <c r="H88" s="90">
        <f>G413</f>
        <v>2000</v>
      </c>
      <c r="I88" s="114">
        <f t="shared" si="17"/>
        <v>140</v>
      </c>
      <c r="J88" s="113">
        <f t="shared" si="18"/>
        <v>100</v>
      </c>
    </row>
    <row r="89" spans="2:12" x14ac:dyDescent="0.25">
      <c r="B89" s="5"/>
      <c r="E89" s="5"/>
      <c r="F89" s="5"/>
      <c r="G89" s="111" t="str">
        <f t="shared" si="19"/>
        <v>Siding</v>
      </c>
      <c r="H89" s="90">
        <f>G438</f>
        <v>4178</v>
      </c>
      <c r="I89" s="114">
        <f t="shared" si="17"/>
        <v>292.46000000000004</v>
      </c>
      <c r="J89" s="113">
        <f t="shared" si="18"/>
        <v>208.9</v>
      </c>
    </row>
    <row r="90" spans="2:12" x14ac:dyDescent="0.25">
      <c r="B90" s="5"/>
      <c r="E90" s="5"/>
      <c r="F90" s="5"/>
      <c r="G90" s="111" t="str">
        <f t="shared" si="19"/>
        <v>Painting</v>
      </c>
      <c r="H90" s="90">
        <f>G463</f>
        <v>500</v>
      </c>
      <c r="I90" s="114">
        <f t="shared" si="17"/>
        <v>35</v>
      </c>
      <c r="J90" s="113">
        <f t="shared" si="18"/>
        <v>25</v>
      </c>
    </row>
    <row r="91" spans="2:12" x14ac:dyDescent="0.25">
      <c r="B91" s="5"/>
      <c r="E91" s="5"/>
      <c r="F91" s="5"/>
      <c r="G91" s="108" t="str">
        <f t="shared" si="19"/>
        <v>Deck</v>
      </c>
      <c r="H91" s="90">
        <f>G488</f>
        <v>2000</v>
      </c>
      <c r="I91" s="114">
        <f t="shared" si="17"/>
        <v>140</v>
      </c>
      <c r="J91" s="113">
        <f t="shared" si="18"/>
        <v>100</v>
      </c>
    </row>
    <row r="92" spans="2:12" x14ac:dyDescent="0.25">
      <c r="B92" s="5"/>
      <c r="E92" s="5"/>
      <c r="F92" s="57"/>
      <c r="G92" s="108" t="str">
        <f t="shared" si="19"/>
        <v>Fence</v>
      </c>
      <c r="H92" s="85">
        <f>G513</f>
        <v>2250</v>
      </c>
      <c r="I92" s="114">
        <f t="shared" si="17"/>
        <v>157.50000000000003</v>
      </c>
      <c r="J92" s="86">
        <f t="shared" si="18"/>
        <v>112.5</v>
      </c>
    </row>
    <row r="93" spans="2:12" x14ac:dyDescent="0.25">
      <c r="B93" s="5"/>
      <c r="E93" s="5"/>
      <c r="F93" s="57"/>
      <c r="G93" s="108" t="str">
        <f t="shared" si="19"/>
        <v>Driveway</v>
      </c>
      <c r="H93" s="85">
        <f>G538</f>
        <v>0</v>
      </c>
      <c r="I93" s="114">
        <f t="shared" si="17"/>
        <v>0</v>
      </c>
      <c r="J93" s="113">
        <f t="shared" si="18"/>
        <v>0</v>
      </c>
      <c r="K93" s="115"/>
      <c r="L93" s="57"/>
    </row>
    <row r="94" spans="2:12" ht="14.4" thickBot="1" x14ac:dyDescent="0.3">
      <c r="B94" s="5"/>
      <c r="E94" s="5"/>
      <c r="F94" s="57"/>
      <c r="G94" s="111" t="str">
        <f t="shared" si="19"/>
        <v>Roofing</v>
      </c>
      <c r="H94" s="114">
        <f>G563</f>
        <v>1055</v>
      </c>
      <c r="I94" s="114">
        <f t="shared" si="17"/>
        <v>73.850000000000009</v>
      </c>
      <c r="J94" s="113">
        <f t="shared" si="18"/>
        <v>52.75</v>
      </c>
      <c r="K94" s="115"/>
      <c r="L94" s="57"/>
    </row>
    <row r="95" spans="2:12" x14ac:dyDescent="0.25">
      <c r="B95" s="5"/>
      <c r="E95" s="5"/>
      <c r="F95" s="57"/>
      <c r="G95" s="116" t="s">
        <v>61</v>
      </c>
      <c r="H95" s="117">
        <f>SUM(H49:H56,S49:S56)</f>
        <v>2986.3312499999997</v>
      </c>
      <c r="I95" s="117"/>
      <c r="J95" s="104"/>
      <c r="K95" s="115"/>
      <c r="L95" s="57"/>
    </row>
    <row r="96" spans="2:12" x14ac:dyDescent="0.25">
      <c r="B96" s="5"/>
      <c r="G96" s="84" t="s">
        <v>76</v>
      </c>
      <c r="H96" s="85">
        <f>SUM(H58:H75)</f>
        <v>49787</v>
      </c>
      <c r="I96" s="118"/>
      <c r="J96" s="86">
        <f>SUM(J58:J94)</f>
        <v>4945.75</v>
      </c>
      <c r="K96" s="19"/>
    </row>
    <row r="97" spans="2:11" ht="14.4" thickBot="1" x14ac:dyDescent="0.3">
      <c r="B97" s="5"/>
      <c r="G97" s="119" t="s">
        <v>77</v>
      </c>
      <c r="H97" s="98">
        <f>SUM(H77:H94)</f>
        <v>49128</v>
      </c>
      <c r="I97" s="98">
        <f>SUM(I77:I94)</f>
        <v>3438.9600000000005</v>
      </c>
      <c r="J97" s="99">
        <f>H97*5%</f>
        <v>2456.4</v>
      </c>
      <c r="K97" s="19"/>
    </row>
    <row r="98" spans="2:11" ht="14.4" thickBot="1" x14ac:dyDescent="0.3">
      <c r="B98" s="5"/>
      <c r="E98" s="63" t="s">
        <v>79</v>
      </c>
      <c r="F98" s="5"/>
      <c r="G98" s="120" t="s">
        <v>78</v>
      </c>
      <c r="H98" s="121">
        <f>SUM(H95:H97)</f>
        <v>101901.33125</v>
      </c>
      <c r="I98" s="122">
        <f>SUM(I95:I97)</f>
        <v>3438.9600000000005</v>
      </c>
      <c r="J98" s="123">
        <f>SUM(J96:J97)</f>
        <v>7402.15</v>
      </c>
      <c r="K98" s="19"/>
    </row>
    <row r="99" spans="2:11" x14ac:dyDescent="0.25">
      <c r="B99" s="5"/>
      <c r="E99" s="5"/>
      <c r="F99" s="57"/>
      <c r="K99" s="19"/>
    </row>
    <row r="100" spans="2:11" x14ac:dyDescent="0.25">
      <c r="B100" s="5"/>
      <c r="D100" s="19"/>
      <c r="E100" s="19"/>
      <c r="F100" s="115"/>
      <c r="K100" s="19"/>
    </row>
    <row r="101" spans="2:11" x14ac:dyDescent="0.25">
      <c r="B101" s="5"/>
      <c r="D101" s="19"/>
      <c r="E101" s="19"/>
      <c r="F101" s="115"/>
      <c r="K101" s="19"/>
    </row>
    <row r="102" spans="2:11" x14ac:dyDescent="0.25">
      <c r="B102" s="5"/>
      <c r="D102" s="19"/>
      <c r="E102" s="19"/>
      <c r="F102" s="115"/>
      <c r="K102" s="19"/>
    </row>
    <row r="103" spans="2:11" x14ac:dyDescent="0.25">
      <c r="B103" s="5"/>
      <c r="D103" s="19"/>
      <c r="E103" s="19"/>
      <c r="F103" s="115"/>
      <c r="K103" s="19"/>
    </row>
    <row r="104" spans="2:11" x14ac:dyDescent="0.25">
      <c r="B104" s="5"/>
      <c r="D104" s="19"/>
      <c r="E104" s="19"/>
      <c r="F104" s="115"/>
      <c r="K104" s="19"/>
    </row>
    <row r="105" spans="2:11" x14ac:dyDescent="0.25">
      <c r="B105" s="5"/>
      <c r="D105" s="19"/>
      <c r="E105" s="19"/>
      <c r="F105" s="115"/>
      <c r="K105" s="19"/>
    </row>
    <row r="106" spans="2:11" x14ac:dyDescent="0.25">
      <c r="B106" s="5"/>
      <c r="D106" s="19"/>
      <c r="E106" s="19"/>
      <c r="F106" s="115"/>
      <c r="K106" s="19"/>
    </row>
    <row r="107" spans="2:11" x14ac:dyDescent="0.25">
      <c r="B107" s="5"/>
      <c r="D107" s="19"/>
      <c r="E107" s="19"/>
      <c r="F107" s="115"/>
      <c r="K107" s="19"/>
    </row>
    <row r="108" spans="2:11" x14ac:dyDescent="0.25">
      <c r="B108" s="5"/>
      <c r="D108" s="19"/>
      <c r="E108" s="19"/>
      <c r="F108" s="115"/>
      <c r="K108" s="19"/>
    </row>
    <row r="109" spans="2:11" x14ac:dyDescent="0.25">
      <c r="B109" s="5"/>
      <c r="D109" s="19"/>
      <c r="E109" s="19"/>
      <c r="F109" s="115"/>
      <c r="K109" s="19"/>
    </row>
    <row r="110" spans="2:11" x14ac:dyDescent="0.25">
      <c r="B110" s="5"/>
      <c r="D110" s="19"/>
      <c r="E110" s="19"/>
      <c r="F110" s="115"/>
      <c r="K110" s="19"/>
    </row>
    <row r="111" spans="2:11" x14ac:dyDescent="0.25">
      <c r="B111" s="5"/>
      <c r="D111" s="19"/>
      <c r="E111" s="19"/>
      <c r="F111" s="115"/>
      <c r="K111" s="19"/>
    </row>
    <row r="112" spans="2:11" x14ac:dyDescent="0.25">
      <c r="B112" s="5"/>
      <c r="D112" s="19"/>
      <c r="E112" s="19"/>
      <c r="F112" s="115"/>
      <c r="K112" s="19"/>
    </row>
    <row r="113" spans="1:11" x14ac:dyDescent="0.25">
      <c r="B113" s="5"/>
      <c r="D113" s="19"/>
      <c r="E113" s="19"/>
      <c r="F113" s="115"/>
      <c r="K113" s="19"/>
    </row>
    <row r="114" spans="1:11" x14ac:dyDescent="0.25">
      <c r="B114" s="5"/>
      <c r="D114" s="19"/>
      <c r="E114" s="19"/>
      <c r="F114" s="115"/>
      <c r="K114" s="19"/>
    </row>
    <row r="115" spans="1:11" ht="17.399999999999999" thickBot="1" x14ac:dyDescent="0.35">
      <c r="B115" s="5"/>
      <c r="C115" s="124" t="str">
        <f>G58</f>
        <v>Demolition</v>
      </c>
      <c r="E115" s="5"/>
      <c r="F115" s="57"/>
    </row>
    <row r="116" spans="1:11" ht="14.4" thickBot="1" x14ac:dyDescent="0.3">
      <c r="A116" s="63" t="s">
        <v>72</v>
      </c>
      <c r="C116" s="196" t="s">
        <v>0</v>
      </c>
      <c r="D116" s="197"/>
      <c r="E116" s="197"/>
      <c r="F116" s="125" t="s">
        <v>1</v>
      </c>
      <c r="G116" s="126" t="s">
        <v>73</v>
      </c>
      <c r="H116" s="126" t="s">
        <v>83</v>
      </c>
      <c r="I116" s="125" t="s">
        <v>3</v>
      </c>
      <c r="J116" s="127" t="s">
        <v>4</v>
      </c>
    </row>
    <row r="117" spans="1:11" x14ac:dyDescent="0.25">
      <c r="C117" s="198" t="s">
        <v>74</v>
      </c>
      <c r="D117" s="199"/>
      <c r="E117" s="199"/>
      <c r="F117" s="199"/>
      <c r="G117" s="199"/>
      <c r="H117" s="199"/>
      <c r="I117" s="199"/>
      <c r="J117" s="128"/>
    </row>
    <row r="118" spans="1:11" x14ac:dyDescent="0.25">
      <c r="C118" s="192"/>
      <c r="D118" s="193"/>
      <c r="E118" s="193"/>
      <c r="F118" s="129"/>
      <c r="G118" s="130">
        <v>3000</v>
      </c>
      <c r="H118" s="131">
        <f>G118/$G$139</f>
        <v>0.82191780821917804</v>
      </c>
      <c r="I118" s="130">
        <f>G118*7%</f>
        <v>210.00000000000003</v>
      </c>
      <c r="J118" s="86">
        <f>G118*5%</f>
        <v>150</v>
      </c>
    </row>
    <row r="119" spans="1:11" x14ac:dyDescent="0.25">
      <c r="C119" s="192"/>
      <c r="D119" s="193"/>
      <c r="E119" s="193"/>
      <c r="F119" s="129"/>
      <c r="G119" s="130"/>
      <c r="H119" s="131">
        <f t="shared" ref="H119:H121" si="20">G119/$G$139</f>
        <v>0</v>
      </c>
      <c r="I119" s="130">
        <f t="shared" ref="I119:I122" si="21">G119*7%</f>
        <v>0</v>
      </c>
      <c r="J119" s="86">
        <f t="shared" ref="J119:J122" si="22">G119*5%</f>
        <v>0</v>
      </c>
    </row>
    <row r="120" spans="1:11" x14ac:dyDescent="0.25">
      <c r="C120" s="192"/>
      <c r="D120" s="193"/>
      <c r="E120" s="193"/>
      <c r="F120" s="130"/>
      <c r="G120" s="130"/>
      <c r="H120" s="131">
        <f t="shared" si="20"/>
        <v>0</v>
      </c>
      <c r="I120" s="130">
        <f t="shared" si="21"/>
        <v>0</v>
      </c>
      <c r="J120" s="86">
        <f t="shared" si="22"/>
        <v>0</v>
      </c>
    </row>
    <row r="121" spans="1:11" ht="14.4" thickBot="1" x14ac:dyDescent="0.3">
      <c r="C121" s="194"/>
      <c r="D121" s="195"/>
      <c r="E121" s="195"/>
      <c r="F121" s="132"/>
      <c r="G121" s="132"/>
      <c r="H121" s="133">
        <f t="shared" si="20"/>
        <v>0</v>
      </c>
      <c r="I121" s="132">
        <f t="shared" si="21"/>
        <v>0</v>
      </c>
      <c r="J121" s="113">
        <f t="shared" si="22"/>
        <v>0</v>
      </c>
    </row>
    <row r="122" spans="1:11" ht="14.4" thickBot="1" x14ac:dyDescent="0.3">
      <c r="C122" s="196" t="s">
        <v>82</v>
      </c>
      <c r="D122" s="197"/>
      <c r="E122" s="197"/>
      <c r="F122" s="134"/>
      <c r="G122" s="134">
        <f>SUM(G118:G121)</f>
        <v>3000</v>
      </c>
      <c r="H122" s="135">
        <f>G122/$G$139</f>
        <v>0.82191780821917804</v>
      </c>
      <c r="I122" s="134">
        <f t="shared" si="21"/>
        <v>210.00000000000003</v>
      </c>
      <c r="J122" s="123">
        <f t="shared" si="22"/>
        <v>150</v>
      </c>
    </row>
    <row r="123" spans="1:11" x14ac:dyDescent="0.25">
      <c r="C123" s="198" t="s">
        <v>75</v>
      </c>
      <c r="D123" s="199"/>
      <c r="E123" s="199"/>
      <c r="F123" s="199"/>
      <c r="G123" s="199"/>
      <c r="H123" s="199"/>
      <c r="I123" s="199"/>
      <c r="J123" s="128"/>
    </row>
    <row r="124" spans="1:11" x14ac:dyDescent="0.25">
      <c r="C124" s="192"/>
      <c r="D124" s="193"/>
      <c r="E124" s="193"/>
      <c r="F124" s="129"/>
      <c r="G124" s="130">
        <v>650</v>
      </c>
      <c r="H124" s="131">
        <f>G124/$G$139</f>
        <v>0.17808219178082191</v>
      </c>
      <c r="I124" s="130">
        <f>G124*7%</f>
        <v>45.500000000000007</v>
      </c>
      <c r="J124" s="86">
        <f>G124*5%</f>
        <v>32.5</v>
      </c>
    </row>
    <row r="125" spans="1:11" x14ac:dyDescent="0.25">
      <c r="C125" s="192"/>
      <c r="D125" s="193"/>
      <c r="E125" s="193"/>
      <c r="F125" s="129"/>
      <c r="G125" s="130"/>
      <c r="H125" s="131">
        <f t="shared" ref="H125:H137" si="23">G125/$G$139</f>
        <v>0</v>
      </c>
      <c r="I125" s="130">
        <f t="shared" ref="I125:I139" si="24">G125*7%</f>
        <v>0</v>
      </c>
      <c r="J125" s="86">
        <f t="shared" ref="J125:J139" si="25">G125*5%</f>
        <v>0</v>
      </c>
    </row>
    <row r="126" spans="1:11" x14ac:dyDescent="0.25">
      <c r="C126" s="192"/>
      <c r="D126" s="193"/>
      <c r="E126" s="193"/>
      <c r="F126" s="130"/>
      <c r="G126" s="130"/>
      <c r="H126" s="131">
        <f t="shared" si="23"/>
        <v>0</v>
      </c>
      <c r="I126" s="130">
        <f t="shared" si="24"/>
        <v>0</v>
      </c>
      <c r="J126" s="86">
        <f t="shared" si="25"/>
        <v>0</v>
      </c>
    </row>
    <row r="127" spans="1:11" x14ac:dyDescent="0.25">
      <c r="C127" s="192"/>
      <c r="D127" s="193"/>
      <c r="E127" s="193"/>
      <c r="F127" s="130"/>
      <c r="G127" s="130"/>
      <c r="H127" s="131">
        <f t="shared" si="23"/>
        <v>0</v>
      </c>
      <c r="I127" s="130">
        <f t="shared" si="24"/>
        <v>0</v>
      </c>
      <c r="J127" s="86">
        <f t="shared" si="25"/>
        <v>0</v>
      </c>
    </row>
    <row r="128" spans="1:11" x14ac:dyDescent="0.25">
      <c r="C128" s="192"/>
      <c r="D128" s="193"/>
      <c r="E128" s="193"/>
      <c r="F128" s="130"/>
      <c r="G128" s="130"/>
      <c r="H128" s="131">
        <f t="shared" si="23"/>
        <v>0</v>
      </c>
      <c r="I128" s="130">
        <f t="shared" si="24"/>
        <v>0</v>
      </c>
      <c r="J128" s="86">
        <f t="shared" si="25"/>
        <v>0</v>
      </c>
    </row>
    <row r="129" spans="1:10" x14ac:dyDescent="0.25">
      <c r="C129" s="192"/>
      <c r="D129" s="193"/>
      <c r="E129" s="193"/>
      <c r="F129" s="130"/>
      <c r="G129" s="130"/>
      <c r="H129" s="131">
        <f t="shared" si="23"/>
        <v>0</v>
      </c>
      <c r="I129" s="130">
        <f t="shared" si="24"/>
        <v>0</v>
      </c>
      <c r="J129" s="86">
        <f t="shared" si="25"/>
        <v>0</v>
      </c>
    </row>
    <row r="130" spans="1:10" x14ac:dyDescent="0.25">
      <c r="C130" s="192"/>
      <c r="D130" s="193"/>
      <c r="E130" s="193"/>
      <c r="F130" s="130"/>
      <c r="G130" s="130"/>
      <c r="H130" s="131">
        <f t="shared" si="23"/>
        <v>0</v>
      </c>
      <c r="I130" s="130">
        <f t="shared" si="24"/>
        <v>0</v>
      </c>
      <c r="J130" s="86">
        <f t="shared" si="25"/>
        <v>0</v>
      </c>
    </row>
    <row r="131" spans="1:10" x14ac:dyDescent="0.25">
      <c r="C131" s="192"/>
      <c r="D131" s="193"/>
      <c r="E131" s="193"/>
      <c r="F131" s="130"/>
      <c r="G131" s="130"/>
      <c r="H131" s="131">
        <f t="shared" si="23"/>
        <v>0</v>
      </c>
      <c r="I131" s="130">
        <f t="shared" si="24"/>
        <v>0</v>
      </c>
      <c r="J131" s="86">
        <f t="shared" si="25"/>
        <v>0</v>
      </c>
    </row>
    <row r="132" spans="1:10" x14ac:dyDescent="0.25">
      <c r="C132" s="192"/>
      <c r="D132" s="193"/>
      <c r="E132" s="193"/>
      <c r="F132" s="130"/>
      <c r="G132" s="130"/>
      <c r="H132" s="131">
        <f t="shared" si="23"/>
        <v>0</v>
      </c>
      <c r="I132" s="130">
        <f t="shared" si="24"/>
        <v>0</v>
      </c>
      <c r="J132" s="86">
        <f t="shared" si="25"/>
        <v>0</v>
      </c>
    </row>
    <row r="133" spans="1:10" x14ac:dyDescent="0.25">
      <c r="C133" s="192"/>
      <c r="D133" s="193"/>
      <c r="E133" s="193"/>
      <c r="F133" s="130"/>
      <c r="G133" s="130"/>
      <c r="H133" s="131">
        <f t="shared" si="23"/>
        <v>0</v>
      </c>
      <c r="I133" s="130">
        <f t="shared" si="24"/>
        <v>0</v>
      </c>
      <c r="J133" s="86">
        <f t="shared" si="25"/>
        <v>0</v>
      </c>
    </row>
    <row r="134" spans="1:10" x14ac:dyDescent="0.25">
      <c r="C134" s="192"/>
      <c r="D134" s="193"/>
      <c r="E134" s="193"/>
      <c r="F134" s="130"/>
      <c r="G134" s="130"/>
      <c r="H134" s="131">
        <f t="shared" si="23"/>
        <v>0</v>
      </c>
      <c r="I134" s="130">
        <f t="shared" si="24"/>
        <v>0</v>
      </c>
      <c r="J134" s="86">
        <f t="shared" si="25"/>
        <v>0</v>
      </c>
    </row>
    <row r="135" spans="1:10" x14ac:dyDescent="0.25">
      <c r="C135" s="192"/>
      <c r="D135" s="193"/>
      <c r="E135" s="193"/>
      <c r="F135" s="130"/>
      <c r="G135" s="130"/>
      <c r="H135" s="131">
        <f t="shared" si="23"/>
        <v>0</v>
      </c>
      <c r="I135" s="130">
        <f t="shared" si="24"/>
        <v>0</v>
      </c>
      <c r="J135" s="86">
        <f t="shared" si="25"/>
        <v>0</v>
      </c>
    </row>
    <row r="136" spans="1:10" x14ac:dyDescent="0.25">
      <c r="C136" s="192"/>
      <c r="D136" s="193"/>
      <c r="E136" s="193"/>
      <c r="F136" s="130"/>
      <c r="G136" s="130"/>
      <c r="H136" s="131">
        <f t="shared" si="23"/>
        <v>0</v>
      </c>
      <c r="I136" s="130">
        <f t="shared" si="24"/>
        <v>0</v>
      </c>
      <c r="J136" s="86">
        <f t="shared" si="25"/>
        <v>0</v>
      </c>
    </row>
    <row r="137" spans="1:10" ht="14.4" thickBot="1" x14ac:dyDescent="0.3">
      <c r="C137" s="194"/>
      <c r="D137" s="195"/>
      <c r="E137" s="195"/>
      <c r="F137" s="132"/>
      <c r="G137" s="132"/>
      <c r="H137" s="133">
        <f t="shared" si="23"/>
        <v>0</v>
      </c>
      <c r="I137" s="132">
        <f t="shared" si="24"/>
        <v>0</v>
      </c>
      <c r="J137" s="113">
        <f t="shared" si="25"/>
        <v>0</v>
      </c>
    </row>
    <row r="138" spans="1:10" ht="14.4" thickBot="1" x14ac:dyDescent="0.3">
      <c r="C138" s="200" t="s">
        <v>81</v>
      </c>
      <c r="D138" s="201"/>
      <c r="E138" s="201"/>
      <c r="F138" s="136"/>
      <c r="G138" s="136">
        <f>SUM(G124:G137)</f>
        <v>650</v>
      </c>
      <c r="H138" s="137">
        <f>G138/$G$139</f>
        <v>0.17808219178082191</v>
      </c>
      <c r="I138" s="136">
        <f t="shared" si="24"/>
        <v>45.500000000000007</v>
      </c>
      <c r="J138" s="138">
        <f t="shared" si="25"/>
        <v>32.5</v>
      </c>
    </row>
    <row r="139" spans="1:10" ht="14.4" thickBot="1" x14ac:dyDescent="0.3">
      <c r="C139" s="196" t="s">
        <v>7</v>
      </c>
      <c r="D139" s="197"/>
      <c r="E139" s="197"/>
      <c r="F139" s="134"/>
      <c r="G139" s="134">
        <f>G122+G138</f>
        <v>3650</v>
      </c>
      <c r="H139" s="139">
        <f>G139/G139</f>
        <v>1</v>
      </c>
      <c r="I139" s="134">
        <f t="shared" si="24"/>
        <v>255.50000000000003</v>
      </c>
      <c r="J139" s="123">
        <f t="shared" si="25"/>
        <v>182.5</v>
      </c>
    </row>
    <row r="140" spans="1:10" ht="17.399999999999999" thickBot="1" x14ac:dyDescent="0.35">
      <c r="C140" s="140" t="str">
        <f>G59</f>
        <v>Framing</v>
      </c>
      <c r="D140" s="140"/>
      <c r="E140" s="140"/>
      <c r="F140" s="58"/>
      <c r="G140" s="57"/>
      <c r="H140" s="57"/>
      <c r="I140" s="57"/>
      <c r="J140" s="57"/>
    </row>
    <row r="141" spans="1:10" ht="14.4" thickBot="1" x14ac:dyDescent="0.3">
      <c r="A141" s="63" t="s">
        <v>72</v>
      </c>
      <c r="C141" s="196" t="s">
        <v>0</v>
      </c>
      <c r="D141" s="197"/>
      <c r="E141" s="197"/>
      <c r="F141" s="125" t="s">
        <v>1</v>
      </c>
      <c r="G141" s="126" t="s">
        <v>73</v>
      </c>
      <c r="H141" s="126" t="s">
        <v>83</v>
      </c>
      <c r="I141" s="125" t="s">
        <v>3</v>
      </c>
      <c r="J141" s="127" t="s">
        <v>4</v>
      </c>
    </row>
    <row r="142" spans="1:10" x14ac:dyDescent="0.25">
      <c r="C142" s="198" t="s">
        <v>74</v>
      </c>
      <c r="D142" s="199"/>
      <c r="E142" s="199"/>
      <c r="F142" s="199"/>
      <c r="G142" s="199"/>
      <c r="H142" s="199"/>
      <c r="I142" s="199"/>
      <c r="J142" s="128"/>
    </row>
    <row r="143" spans="1:10" x14ac:dyDescent="0.25">
      <c r="C143" s="192"/>
      <c r="D143" s="193"/>
      <c r="E143" s="193"/>
      <c r="F143" s="129"/>
      <c r="G143" s="130">
        <v>2468</v>
      </c>
      <c r="H143" s="131">
        <f>G143/$G$164</f>
        <v>0.24177115987460815</v>
      </c>
      <c r="I143" s="130">
        <f>G143*7%</f>
        <v>172.76000000000002</v>
      </c>
      <c r="J143" s="86">
        <f>G143*5%</f>
        <v>123.4</v>
      </c>
    </row>
    <row r="144" spans="1:10" x14ac:dyDescent="0.25">
      <c r="C144" s="192"/>
      <c r="D144" s="193"/>
      <c r="E144" s="193"/>
      <c r="F144" s="129"/>
      <c r="G144" s="130">
        <v>666</v>
      </c>
      <c r="H144" s="131">
        <f t="shared" ref="H144:H147" si="26">G144/$G$164</f>
        <v>6.524294670846395E-2</v>
      </c>
      <c r="I144" s="130">
        <f t="shared" ref="I144:I147" si="27">G144*7%</f>
        <v>46.620000000000005</v>
      </c>
      <c r="J144" s="86">
        <f t="shared" ref="J144:J147" si="28">G144*5%</f>
        <v>33.300000000000004</v>
      </c>
    </row>
    <row r="145" spans="3:10" x14ac:dyDescent="0.25">
      <c r="C145" s="192"/>
      <c r="D145" s="193"/>
      <c r="E145" s="193"/>
      <c r="F145" s="130"/>
      <c r="G145" s="130">
        <v>900</v>
      </c>
      <c r="H145" s="131">
        <f t="shared" si="26"/>
        <v>8.8166144200626961E-2</v>
      </c>
      <c r="I145" s="130">
        <f t="shared" si="27"/>
        <v>63.000000000000007</v>
      </c>
      <c r="J145" s="86">
        <f t="shared" si="28"/>
        <v>45</v>
      </c>
    </row>
    <row r="146" spans="3:10" ht="14.4" thickBot="1" x14ac:dyDescent="0.3">
      <c r="C146" s="194"/>
      <c r="D146" s="195"/>
      <c r="E146" s="195"/>
      <c r="F146" s="132"/>
      <c r="G146" s="132"/>
      <c r="H146" s="133">
        <f t="shared" si="26"/>
        <v>0</v>
      </c>
      <c r="I146" s="132">
        <f t="shared" si="27"/>
        <v>0</v>
      </c>
      <c r="J146" s="113">
        <f t="shared" si="28"/>
        <v>0</v>
      </c>
    </row>
    <row r="147" spans="3:10" ht="14.4" thickBot="1" x14ac:dyDescent="0.3">
      <c r="C147" s="196" t="s">
        <v>82</v>
      </c>
      <c r="D147" s="197"/>
      <c r="E147" s="197"/>
      <c r="F147" s="134"/>
      <c r="G147" s="134">
        <f>SUM(G143:G146)</f>
        <v>4034</v>
      </c>
      <c r="H147" s="135">
        <f t="shared" si="26"/>
        <v>0.39518025078369906</v>
      </c>
      <c r="I147" s="134">
        <f t="shared" si="27"/>
        <v>282.38000000000005</v>
      </c>
      <c r="J147" s="123">
        <f t="shared" si="28"/>
        <v>201.70000000000002</v>
      </c>
    </row>
    <row r="148" spans="3:10" x14ac:dyDescent="0.25">
      <c r="C148" s="198" t="s">
        <v>75</v>
      </c>
      <c r="D148" s="199"/>
      <c r="E148" s="199"/>
      <c r="F148" s="199"/>
      <c r="G148" s="199"/>
      <c r="H148" s="199"/>
      <c r="I148" s="199"/>
      <c r="J148" s="128"/>
    </row>
    <row r="149" spans="3:10" x14ac:dyDescent="0.25">
      <c r="C149" s="192"/>
      <c r="D149" s="193"/>
      <c r="E149" s="193"/>
      <c r="F149" s="129"/>
      <c r="G149" s="130">
        <v>1896</v>
      </c>
      <c r="H149" s="131">
        <f>G149/$G$164</f>
        <v>0.18573667711598746</v>
      </c>
      <c r="I149" s="130">
        <f>G149*7%</f>
        <v>132.72</v>
      </c>
      <c r="J149" s="86">
        <f>G149*5%</f>
        <v>94.800000000000011</v>
      </c>
    </row>
    <row r="150" spans="3:10" x14ac:dyDescent="0.25">
      <c r="C150" s="192"/>
      <c r="D150" s="193"/>
      <c r="E150" s="193"/>
      <c r="F150" s="129"/>
      <c r="G150" s="130">
        <v>2000</v>
      </c>
      <c r="H150" s="131">
        <f t="shared" ref="H150:H164" si="29">G150/$G$164</f>
        <v>0.19592476489028213</v>
      </c>
      <c r="I150" s="130">
        <f t="shared" ref="I150:I164" si="30">G150*7%</f>
        <v>140</v>
      </c>
      <c r="J150" s="86">
        <f t="shared" ref="J150:J164" si="31">G150*5%</f>
        <v>100</v>
      </c>
    </row>
    <row r="151" spans="3:10" x14ac:dyDescent="0.25">
      <c r="C151" s="192"/>
      <c r="D151" s="193"/>
      <c r="E151" s="193"/>
      <c r="F151" s="130"/>
      <c r="G151" s="130">
        <v>700</v>
      </c>
      <c r="H151" s="131">
        <f t="shared" si="29"/>
        <v>6.8573667711598743E-2</v>
      </c>
      <c r="I151" s="130">
        <f t="shared" si="30"/>
        <v>49.000000000000007</v>
      </c>
      <c r="J151" s="86">
        <f t="shared" si="31"/>
        <v>35</v>
      </c>
    </row>
    <row r="152" spans="3:10" x14ac:dyDescent="0.25">
      <c r="C152" s="192"/>
      <c r="D152" s="193"/>
      <c r="E152" s="193"/>
      <c r="F152" s="130"/>
      <c r="G152" s="130">
        <v>378</v>
      </c>
      <c r="H152" s="131">
        <f t="shared" si="29"/>
        <v>3.7029780564263322E-2</v>
      </c>
      <c r="I152" s="130">
        <f t="shared" si="30"/>
        <v>26.46</v>
      </c>
      <c r="J152" s="86">
        <f t="shared" si="31"/>
        <v>18.900000000000002</v>
      </c>
    </row>
    <row r="153" spans="3:10" x14ac:dyDescent="0.25">
      <c r="C153" s="192"/>
      <c r="D153" s="193"/>
      <c r="E153" s="193"/>
      <c r="F153" s="130"/>
      <c r="G153" s="130">
        <v>1200</v>
      </c>
      <c r="H153" s="131">
        <f t="shared" si="29"/>
        <v>0.11755485893416928</v>
      </c>
      <c r="I153" s="130">
        <f t="shared" si="30"/>
        <v>84.000000000000014</v>
      </c>
      <c r="J153" s="86">
        <f t="shared" si="31"/>
        <v>60</v>
      </c>
    </row>
    <row r="154" spans="3:10" x14ac:dyDescent="0.25">
      <c r="C154" s="192"/>
      <c r="D154" s="193"/>
      <c r="E154" s="193"/>
      <c r="F154" s="130"/>
      <c r="G154" s="130"/>
      <c r="H154" s="131">
        <f t="shared" si="29"/>
        <v>0</v>
      </c>
      <c r="I154" s="130">
        <f t="shared" si="30"/>
        <v>0</v>
      </c>
      <c r="J154" s="86">
        <f t="shared" si="31"/>
        <v>0</v>
      </c>
    </row>
    <row r="155" spans="3:10" x14ac:dyDescent="0.25">
      <c r="C155" s="192"/>
      <c r="D155" s="193"/>
      <c r="E155" s="193"/>
      <c r="F155" s="130"/>
      <c r="G155" s="130"/>
      <c r="H155" s="131">
        <f t="shared" si="29"/>
        <v>0</v>
      </c>
      <c r="I155" s="130">
        <f t="shared" si="30"/>
        <v>0</v>
      </c>
      <c r="J155" s="86">
        <f t="shared" si="31"/>
        <v>0</v>
      </c>
    </row>
    <row r="156" spans="3:10" x14ac:dyDescent="0.25">
      <c r="C156" s="192"/>
      <c r="D156" s="193"/>
      <c r="E156" s="193"/>
      <c r="F156" s="130"/>
      <c r="G156" s="130"/>
      <c r="H156" s="131">
        <f t="shared" si="29"/>
        <v>0</v>
      </c>
      <c r="I156" s="130">
        <f t="shared" si="30"/>
        <v>0</v>
      </c>
      <c r="J156" s="86">
        <f t="shared" si="31"/>
        <v>0</v>
      </c>
    </row>
    <row r="157" spans="3:10" x14ac:dyDescent="0.25">
      <c r="C157" s="192"/>
      <c r="D157" s="193"/>
      <c r="E157" s="193"/>
      <c r="F157" s="130"/>
      <c r="G157" s="130"/>
      <c r="H157" s="131">
        <f t="shared" si="29"/>
        <v>0</v>
      </c>
      <c r="I157" s="130">
        <f t="shared" si="30"/>
        <v>0</v>
      </c>
      <c r="J157" s="86">
        <f t="shared" si="31"/>
        <v>0</v>
      </c>
    </row>
    <row r="158" spans="3:10" x14ac:dyDescent="0.25">
      <c r="C158" s="192"/>
      <c r="D158" s="193"/>
      <c r="E158" s="193"/>
      <c r="F158" s="130"/>
      <c r="G158" s="130"/>
      <c r="H158" s="131">
        <f t="shared" si="29"/>
        <v>0</v>
      </c>
      <c r="I158" s="130">
        <f t="shared" si="30"/>
        <v>0</v>
      </c>
      <c r="J158" s="86">
        <f t="shared" si="31"/>
        <v>0</v>
      </c>
    </row>
    <row r="159" spans="3:10" x14ac:dyDescent="0.25">
      <c r="C159" s="192"/>
      <c r="D159" s="193"/>
      <c r="E159" s="193"/>
      <c r="F159" s="130"/>
      <c r="G159" s="130"/>
      <c r="H159" s="131">
        <f t="shared" si="29"/>
        <v>0</v>
      </c>
      <c r="I159" s="130">
        <f t="shared" si="30"/>
        <v>0</v>
      </c>
      <c r="J159" s="86">
        <f t="shared" si="31"/>
        <v>0</v>
      </c>
    </row>
    <row r="160" spans="3:10" x14ac:dyDescent="0.25">
      <c r="C160" s="192"/>
      <c r="D160" s="193"/>
      <c r="E160" s="193"/>
      <c r="F160" s="130"/>
      <c r="G160" s="130"/>
      <c r="H160" s="131">
        <f t="shared" si="29"/>
        <v>0</v>
      </c>
      <c r="I160" s="130">
        <f t="shared" si="30"/>
        <v>0</v>
      </c>
      <c r="J160" s="86">
        <f t="shared" si="31"/>
        <v>0</v>
      </c>
    </row>
    <row r="161" spans="1:10" x14ac:dyDescent="0.25">
      <c r="C161" s="192"/>
      <c r="D161" s="193"/>
      <c r="E161" s="193"/>
      <c r="F161" s="130"/>
      <c r="G161" s="130"/>
      <c r="H161" s="131">
        <f t="shared" si="29"/>
        <v>0</v>
      </c>
      <c r="I161" s="130">
        <f t="shared" si="30"/>
        <v>0</v>
      </c>
      <c r="J161" s="86">
        <f t="shared" si="31"/>
        <v>0</v>
      </c>
    </row>
    <row r="162" spans="1:10" ht="14.4" thickBot="1" x14ac:dyDescent="0.3">
      <c r="C162" s="194"/>
      <c r="D162" s="195"/>
      <c r="E162" s="195"/>
      <c r="F162" s="132"/>
      <c r="G162" s="132"/>
      <c r="H162" s="133">
        <f t="shared" si="29"/>
        <v>0</v>
      </c>
      <c r="I162" s="132">
        <f t="shared" si="30"/>
        <v>0</v>
      </c>
      <c r="J162" s="113">
        <f t="shared" si="31"/>
        <v>0</v>
      </c>
    </row>
    <row r="163" spans="1:10" ht="14.4" thickBot="1" x14ac:dyDescent="0.3">
      <c r="C163" s="196" t="s">
        <v>81</v>
      </c>
      <c r="D163" s="197"/>
      <c r="E163" s="197"/>
      <c r="F163" s="134"/>
      <c r="G163" s="134">
        <f>SUM(G149:G162)</f>
        <v>6174</v>
      </c>
      <c r="H163" s="135">
        <f t="shared" si="29"/>
        <v>0.60481974921630099</v>
      </c>
      <c r="I163" s="134">
        <f t="shared" si="30"/>
        <v>432.18000000000006</v>
      </c>
      <c r="J163" s="123">
        <f t="shared" si="31"/>
        <v>308.70000000000005</v>
      </c>
    </row>
    <row r="164" spans="1:10" ht="14.4" thickBot="1" x14ac:dyDescent="0.3">
      <c r="C164" s="196" t="s">
        <v>7</v>
      </c>
      <c r="D164" s="197"/>
      <c r="E164" s="197"/>
      <c r="F164" s="134"/>
      <c r="G164" s="134">
        <f>G147+G163</f>
        <v>10208</v>
      </c>
      <c r="H164" s="135">
        <f t="shared" si="29"/>
        <v>1</v>
      </c>
      <c r="I164" s="134">
        <f t="shared" si="30"/>
        <v>714.56000000000006</v>
      </c>
      <c r="J164" s="123">
        <f t="shared" si="31"/>
        <v>510.40000000000003</v>
      </c>
    </row>
    <row r="165" spans="1:10" ht="17.399999999999999" thickBot="1" x14ac:dyDescent="0.35">
      <c r="C165" s="140" t="str">
        <f>G60</f>
        <v>Drywall, tape&amp;mudding</v>
      </c>
      <c r="E165" s="5"/>
      <c r="F165" s="5"/>
    </row>
    <row r="166" spans="1:10" ht="14.4" thickBot="1" x14ac:dyDescent="0.3">
      <c r="A166" s="63" t="s">
        <v>72</v>
      </c>
      <c r="C166" s="196" t="s">
        <v>0</v>
      </c>
      <c r="D166" s="197"/>
      <c r="E166" s="197"/>
      <c r="F166" s="125" t="s">
        <v>1</v>
      </c>
      <c r="G166" s="126" t="s">
        <v>73</v>
      </c>
      <c r="H166" s="126" t="s">
        <v>83</v>
      </c>
      <c r="I166" s="125" t="s">
        <v>3</v>
      </c>
      <c r="J166" s="127" t="s">
        <v>4</v>
      </c>
    </row>
    <row r="167" spans="1:10" x14ac:dyDescent="0.25">
      <c r="C167" s="198" t="s">
        <v>74</v>
      </c>
      <c r="D167" s="199"/>
      <c r="E167" s="199"/>
      <c r="F167" s="199"/>
      <c r="G167" s="199"/>
      <c r="H167" s="199"/>
      <c r="I167" s="199"/>
      <c r="J167" s="128"/>
    </row>
    <row r="168" spans="1:10" x14ac:dyDescent="0.25">
      <c r="C168" s="192"/>
      <c r="D168" s="193"/>
      <c r="E168" s="193"/>
      <c r="F168" s="129"/>
      <c r="G168" s="130">
        <v>1500</v>
      </c>
      <c r="H168" s="131">
        <f>G168/$G$189</f>
        <v>0.23749208359721344</v>
      </c>
      <c r="I168" s="130">
        <f>G168*7%</f>
        <v>105.00000000000001</v>
      </c>
      <c r="J168" s="86">
        <f>G168*5%</f>
        <v>75</v>
      </c>
    </row>
    <row r="169" spans="1:10" x14ac:dyDescent="0.25">
      <c r="C169" s="192"/>
      <c r="D169" s="193"/>
      <c r="E169" s="193"/>
      <c r="F169" s="129"/>
      <c r="G169" s="130">
        <v>800</v>
      </c>
      <c r="H169" s="131">
        <f t="shared" ref="H169:H172" si="32">G169/$G$189</f>
        <v>0.1266624445851805</v>
      </c>
      <c r="I169" s="130">
        <f t="shared" ref="I169:I172" si="33">G169*7%</f>
        <v>56.000000000000007</v>
      </c>
      <c r="J169" s="86">
        <f t="shared" ref="J169:J172" si="34">G169*5%</f>
        <v>40</v>
      </c>
    </row>
    <row r="170" spans="1:10" x14ac:dyDescent="0.25">
      <c r="C170" s="192"/>
      <c r="D170" s="193"/>
      <c r="E170" s="193"/>
      <c r="F170" s="130"/>
      <c r="G170" s="130">
        <v>260</v>
      </c>
      <c r="H170" s="131">
        <f t="shared" si="32"/>
        <v>4.1165294490183663E-2</v>
      </c>
      <c r="I170" s="130">
        <f t="shared" si="33"/>
        <v>18.200000000000003</v>
      </c>
      <c r="J170" s="86">
        <f t="shared" si="34"/>
        <v>13</v>
      </c>
    </row>
    <row r="171" spans="1:10" ht="14.4" thickBot="1" x14ac:dyDescent="0.3">
      <c r="C171" s="194"/>
      <c r="D171" s="195"/>
      <c r="E171" s="195"/>
      <c r="F171" s="132"/>
      <c r="G171" s="132"/>
      <c r="H171" s="133">
        <f t="shared" si="32"/>
        <v>0</v>
      </c>
      <c r="I171" s="132">
        <f t="shared" si="33"/>
        <v>0</v>
      </c>
      <c r="J171" s="113">
        <f t="shared" si="34"/>
        <v>0</v>
      </c>
    </row>
    <row r="172" spans="1:10" ht="14.4" thickBot="1" x14ac:dyDescent="0.3">
      <c r="C172" s="196" t="s">
        <v>82</v>
      </c>
      <c r="D172" s="197"/>
      <c r="E172" s="197"/>
      <c r="F172" s="134"/>
      <c r="G172" s="134">
        <f>SUM(G168:G171)</f>
        <v>2560</v>
      </c>
      <c r="H172" s="135">
        <f t="shared" si="32"/>
        <v>0.4053198226725776</v>
      </c>
      <c r="I172" s="134">
        <f t="shared" si="33"/>
        <v>179.20000000000002</v>
      </c>
      <c r="J172" s="123">
        <f t="shared" si="34"/>
        <v>128</v>
      </c>
    </row>
    <row r="173" spans="1:10" x14ac:dyDescent="0.25">
      <c r="C173" s="198" t="s">
        <v>75</v>
      </c>
      <c r="D173" s="199"/>
      <c r="E173" s="199"/>
      <c r="F173" s="199"/>
      <c r="G173" s="199"/>
      <c r="H173" s="199"/>
      <c r="I173" s="199"/>
      <c r="J173" s="128"/>
    </row>
    <row r="174" spans="1:10" x14ac:dyDescent="0.25">
      <c r="C174" s="192"/>
      <c r="D174" s="193"/>
      <c r="E174" s="193"/>
      <c r="F174" s="129"/>
      <c r="G174" s="130">
        <v>3500</v>
      </c>
      <c r="H174" s="131">
        <f>G174/$G$189</f>
        <v>0.55414819506016466</v>
      </c>
      <c r="I174" s="130">
        <f>G174*7%</f>
        <v>245.00000000000003</v>
      </c>
      <c r="J174" s="86">
        <f>G174*5%</f>
        <v>175</v>
      </c>
    </row>
    <row r="175" spans="1:10" x14ac:dyDescent="0.25">
      <c r="C175" s="192"/>
      <c r="D175" s="193"/>
      <c r="E175" s="193"/>
      <c r="F175" s="129"/>
      <c r="G175" s="130">
        <v>80</v>
      </c>
      <c r="H175" s="131">
        <f t="shared" ref="H175:H189" si="35">G175/$G$189</f>
        <v>1.266624445851805E-2</v>
      </c>
      <c r="I175" s="130">
        <f t="shared" ref="I175:I189" si="36">G175*7%</f>
        <v>5.6000000000000005</v>
      </c>
      <c r="J175" s="86">
        <f t="shared" ref="J175:J189" si="37">G175*5%</f>
        <v>4</v>
      </c>
    </row>
    <row r="176" spans="1:10" x14ac:dyDescent="0.25">
      <c r="C176" s="192"/>
      <c r="D176" s="193"/>
      <c r="E176" s="193"/>
      <c r="F176" s="130"/>
      <c r="G176" s="130">
        <v>120</v>
      </c>
      <c r="H176" s="131">
        <f t="shared" si="35"/>
        <v>1.8999366687777075E-2</v>
      </c>
      <c r="I176" s="130">
        <f t="shared" si="36"/>
        <v>8.4</v>
      </c>
      <c r="J176" s="86">
        <f t="shared" si="37"/>
        <v>6</v>
      </c>
    </row>
    <row r="177" spans="1:10" x14ac:dyDescent="0.25">
      <c r="C177" s="192"/>
      <c r="D177" s="193"/>
      <c r="E177" s="193"/>
      <c r="F177" s="130"/>
      <c r="G177" s="130">
        <v>56</v>
      </c>
      <c r="H177" s="131">
        <f t="shared" si="35"/>
        <v>8.8663711209626354E-3</v>
      </c>
      <c r="I177" s="130">
        <f t="shared" si="36"/>
        <v>3.9200000000000004</v>
      </c>
      <c r="J177" s="86">
        <f t="shared" si="37"/>
        <v>2.8000000000000003</v>
      </c>
    </row>
    <row r="178" spans="1:10" x14ac:dyDescent="0.25">
      <c r="C178" s="192"/>
      <c r="D178" s="193"/>
      <c r="E178" s="193"/>
      <c r="F178" s="130"/>
      <c r="G178" s="130"/>
      <c r="H178" s="131">
        <f t="shared" si="35"/>
        <v>0</v>
      </c>
      <c r="I178" s="130">
        <f t="shared" si="36"/>
        <v>0</v>
      </c>
      <c r="J178" s="86">
        <f t="shared" si="37"/>
        <v>0</v>
      </c>
    </row>
    <row r="179" spans="1:10" x14ac:dyDescent="0.25">
      <c r="C179" s="192"/>
      <c r="D179" s="193"/>
      <c r="E179" s="193"/>
      <c r="F179" s="130"/>
      <c r="G179" s="130"/>
      <c r="H179" s="131">
        <f t="shared" si="35"/>
        <v>0</v>
      </c>
      <c r="I179" s="130">
        <f t="shared" si="36"/>
        <v>0</v>
      </c>
      <c r="J179" s="86">
        <f t="shared" si="37"/>
        <v>0</v>
      </c>
    </row>
    <row r="180" spans="1:10" x14ac:dyDescent="0.25">
      <c r="C180" s="192"/>
      <c r="D180" s="193"/>
      <c r="E180" s="193"/>
      <c r="F180" s="130"/>
      <c r="G180" s="130"/>
      <c r="H180" s="131">
        <f t="shared" si="35"/>
        <v>0</v>
      </c>
      <c r="I180" s="130">
        <f t="shared" si="36"/>
        <v>0</v>
      </c>
      <c r="J180" s="86">
        <f t="shared" si="37"/>
        <v>0</v>
      </c>
    </row>
    <row r="181" spans="1:10" x14ac:dyDescent="0.25">
      <c r="C181" s="192"/>
      <c r="D181" s="193"/>
      <c r="E181" s="193"/>
      <c r="F181" s="130"/>
      <c r="G181" s="130"/>
      <c r="H181" s="131">
        <f t="shared" si="35"/>
        <v>0</v>
      </c>
      <c r="I181" s="130">
        <f t="shared" si="36"/>
        <v>0</v>
      </c>
      <c r="J181" s="86">
        <f t="shared" si="37"/>
        <v>0</v>
      </c>
    </row>
    <row r="182" spans="1:10" x14ac:dyDescent="0.25">
      <c r="C182" s="192"/>
      <c r="D182" s="193"/>
      <c r="E182" s="193"/>
      <c r="F182" s="130"/>
      <c r="G182" s="130"/>
      <c r="H182" s="131">
        <f t="shared" si="35"/>
        <v>0</v>
      </c>
      <c r="I182" s="130">
        <f t="shared" si="36"/>
        <v>0</v>
      </c>
      <c r="J182" s="86">
        <f t="shared" si="37"/>
        <v>0</v>
      </c>
    </row>
    <row r="183" spans="1:10" x14ac:dyDescent="0.25">
      <c r="C183" s="192"/>
      <c r="D183" s="193"/>
      <c r="E183" s="193"/>
      <c r="F183" s="130"/>
      <c r="G183" s="130"/>
      <c r="H183" s="131">
        <f t="shared" si="35"/>
        <v>0</v>
      </c>
      <c r="I183" s="130">
        <f t="shared" si="36"/>
        <v>0</v>
      </c>
      <c r="J183" s="86">
        <f t="shared" si="37"/>
        <v>0</v>
      </c>
    </row>
    <row r="184" spans="1:10" x14ac:dyDescent="0.25">
      <c r="C184" s="192"/>
      <c r="D184" s="193"/>
      <c r="E184" s="193"/>
      <c r="F184" s="130"/>
      <c r="G184" s="130"/>
      <c r="H184" s="131">
        <f t="shared" si="35"/>
        <v>0</v>
      </c>
      <c r="I184" s="130">
        <f t="shared" si="36"/>
        <v>0</v>
      </c>
      <c r="J184" s="86">
        <f t="shared" si="37"/>
        <v>0</v>
      </c>
    </row>
    <row r="185" spans="1:10" x14ac:dyDescent="0.25">
      <c r="C185" s="192"/>
      <c r="D185" s="193"/>
      <c r="E185" s="193"/>
      <c r="F185" s="130"/>
      <c r="G185" s="130"/>
      <c r="H185" s="131">
        <f t="shared" si="35"/>
        <v>0</v>
      </c>
      <c r="I185" s="130">
        <f t="shared" si="36"/>
        <v>0</v>
      </c>
      <c r="J185" s="86">
        <f t="shared" si="37"/>
        <v>0</v>
      </c>
    </row>
    <row r="186" spans="1:10" x14ac:dyDescent="0.25">
      <c r="C186" s="192"/>
      <c r="D186" s="193"/>
      <c r="E186" s="193"/>
      <c r="F186" s="130"/>
      <c r="G186" s="130"/>
      <c r="H186" s="131">
        <f t="shared" si="35"/>
        <v>0</v>
      </c>
      <c r="I186" s="130">
        <f t="shared" si="36"/>
        <v>0</v>
      </c>
      <c r="J186" s="86">
        <f t="shared" si="37"/>
        <v>0</v>
      </c>
    </row>
    <row r="187" spans="1:10" ht="14.4" thickBot="1" x14ac:dyDescent="0.3">
      <c r="C187" s="194"/>
      <c r="D187" s="195"/>
      <c r="E187" s="195"/>
      <c r="F187" s="132"/>
      <c r="G187" s="132"/>
      <c r="H187" s="133">
        <f t="shared" si="35"/>
        <v>0</v>
      </c>
      <c r="I187" s="132">
        <f t="shared" si="36"/>
        <v>0</v>
      </c>
      <c r="J187" s="113">
        <f t="shared" si="37"/>
        <v>0</v>
      </c>
    </row>
    <row r="188" spans="1:10" ht="14.4" thickBot="1" x14ac:dyDescent="0.3">
      <c r="C188" s="196" t="s">
        <v>81</v>
      </c>
      <c r="D188" s="197"/>
      <c r="E188" s="197"/>
      <c r="F188" s="134"/>
      <c r="G188" s="134">
        <f>SUM(G174:G187)</f>
        <v>3756</v>
      </c>
      <c r="H188" s="135">
        <f t="shared" si="35"/>
        <v>0.5946801773274224</v>
      </c>
      <c r="I188" s="134">
        <f t="shared" si="36"/>
        <v>262.92</v>
      </c>
      <c r="J188" s="123">
        <f t="shared" si="37"/>
        <v>187.8</v>
      </c>
    </row>
    <row r="189" spans="1:10" ht="14.4" thickBot="1" x14ac:dyDescent="0.3">
      <c r="C189" s="196" t="s">
        <v>7</v>
      </c>
      <c r="D189" s="197"/>
      <c r="E189" s="197"/>
      <c r="F189" s="134"/>
      <c r="G189" s="134">
        <f>G172+G188</f>
        <v>6316</v>
      </c>
      <c r="H189" s="135">
        <f t="shared" si="35"/>
        <v>1</v>
      </c>
      <c r="I189" s="134">
        <f t="shared" si="36"/>
        <v>442.12000000000006</v>
      </c>
      <c r="J189" s="123">
        <f t="shared" si="37"/>
        <v>315.8</v>
      </c>
    </row>
    <row r="190" spans="1:10" ht="16.2" thickBot="1" x14ac:dyDescent="0.35">
      <c r="C190" s="6" t="str">
        <f>G61</f>
        <v>Painting</v>
      </c>
      <c r="E190" s="5"/>
      <c r="F190" s="5"/>
    </row>
    <row r="191" spans="1:10" ht="14.4" thickBot="1" x14ac:dyDescent="0.3">
      <c r="A191" s="63" t="s">
        <v>72</v>
      </c>
      <c r="C191" s="196" t="s">
        <v>0</v>
      </c>
      <c r="D191" s="197"/>
      <c r="E191" s="197"/>
      <c r="F191" s="125" t="s">
        <v>1</v>
      </c>
      <c r="G191" s="126" t="s">
        <v>73</v>
      </c>
      <c r="H191" s="126" t="s">
        <v>83</v>
      </c>
      <c r="I191" s="125" t="s">
        <v>3</v>
      </c>
      <c r="J191" s="127" t="s">
        <v>4</v>
      </c>
    </row>
    <row r="192" spans="1:10" x14ac:dyDescent="0.25">
      <c r="C192" s="198" t="s">
        <v>74</v>
      </c>
      <c r="D192" s="199"/>
      <c r="E192" s="199"/>
      <c r="F192" s="199"/>
      <c r="G192" s="199"/>
      <c r="H192" s="199"/>
      <c r="I192" s="199"/>
      <c r="J192" s="128"/>
    </row>
    <row r="193" spans="3:10" x14ac:dyDescent="0.25">
      <c r="C193" s="192"/>
      <c r="D193" s="193"/>
      <c r="E193" s="193"/>
      <c r="F193" s="129"/>
      <c r="G193" s="130">
        <v>1480</v>
      </c>
      <c r="H193" s="131">
        <f>G193/$G$214</f>
        <v>0.52259887005649719</v>
      </c>
      <c r="I193" s="130">
        <f>G193*7%</f>
        <v>103.60000000000001</v>
      </c>
      <c r="J193" s="86">
        <f>G193*5%</f>
        <v>74</v>
      </c>
    </row>
    <row r="194" spans="3:10" x14ac:dyDescent="0.25">
      <c r="C194" s="192"/>
      <c r="D194" s="193"/>
      <c r="E194" s="193"/>
      <c r="F194" s="129"/>
      <c r="G194" s="130">
        <v>560</v>
      </c>
      <c r="H194" s="131">
        <f t="shared" ref="H194:H197" si="38">G194/$G$214</f>
        <v>0.19774011299435029</v>
      </c>
      <c r="I194" s="130">
        <f t="shared" ref="I194:I197" si="39">G194*7%</f>
        <v>39.200000000000003</v>
      </c>
      <c r="J194" s="86">
        <f t="shared" ref="J194:J197" si="40">G194*5%</f>
        <v>28</v>
      </c>
    </row>
    <row r="195" spans="3:10" x14ac:dyDescent="0.25">
      <c r="C195" s="192"/>
      <c r="D195" s="193"/>
      <c r="E195" s="193"/>
      <c r="F195" s="130"/>
      <c r="G195" s="130"/>
      <c r="H195" s="131">
        <f t="shared" si="38"/>
        <v>0</v>
      </c>
      <c r="I195" s="130">
        <f t="shared" si="39"/>
        <v>0</v>
      </c>
      <c r="J195" s="86">
        <f t="shared" si="40"/>
        <v>0</v>
      </c>
    </row>
    <row r="196" spans="3:10" ht="14.4" thickBot="1" x14ac:dyDescent="0.3">
      <c r="C196" s="194"/>
      <c r="D196" s="195"/>
      <c r="E196" s="195"/>
      <c r="F196" s="132"/>
      <c r="G196" s="132"/>
      <c r="H196" s="133">
        <f t="shared" si="38"/>
        <v>0</v>
      </c>
      <c r="I196" s="132">
        <f t="shared" si="39"/>
        <v>0</v>
      </c>
      <c r="J196" s="113">
        <f t="shared" si="40"/>
        <v>0</v>
      </c>
    </row>
    <row r="197" spans="3:10" ht="14.4" thickBot="1" x14ac:dyDescent="0.3">
      <c r="C197" s="196" t="s">
        <v>82</v>
      </c>
      <c r="D197" s="197"/>
      <c r="E197" s="197"/>
      <c r="F197" s="134"/>
      <c r="G197" s="134">
        <f>SUM(G193:G196)</f>
        <v>2040</v>
      </c>
      <c r="H197" s="135">
        <f t="shared" si="38"/>
        <v>0.72033898305084743</v>
      </c>
      <c r="I197" s="134">
        <f t="shared" si="39"/>
        <v>142.80000000000001</v>
      </c>
      <c r="J197" s="123">
        <f t="shared" si="40"/>
        <v>102</v>
      </c>
    </row>
    <row r="198" spans="3:10" x14ac:dyDescent="0.25">
      <c r="C198" s="198" t="s">
        <v>75</v>
      </c>
      <c r="D198" s="199"/>
      <c r="E198" s="199"/>
      <c r="F198" s="199"/>
      <c r="G198" s="199"/>
      <c r="H198" s="199"/>
      <c r="I198" s="199"/>
      <c r="J198" s="128"/>
    </row>
    <row r="199" spans="3:10" x14ac:dyDescent="0.25">
      <c r="C199" s="192"/>
      <c r="D199" s="193"/>
      <c r="E199" s="193"/>
      <c r="F199" s="129"/>
      <c r="G199" s="130">
        <v>680</v>
      </c>
      <c r="H199" s="131">
        <f>G199/G214</f>
        <v>0.24011299435028249</v>
      </c>
      <c r="I199" s="130">
        <f>G199*7%</f>
        <v>47.6</v>
      </c>
      <c r="J199" s="86">
        <f>G199*5%</f>
        <v>34</v>
      </c>
    </row>
    <row r="200" spans="3:10" x14ac:dyDescent="0.25">
      <c r="C200" s="192"/>
      <c r="D200" s="193"/>
      <c r="E200" s="193"/>
      <c r="F200" s="129"/>
      <c r="G200" s="130">
        <v>34</v>
      </c>
      <c r="H200" s="131">
        <f>G200/G214</f>
        <v>1.2005649717514125E-2</v>
      </c>
      <c r="I200" s="130">
        <f t="shared" ref="I200:I214" si="41">G200*7%</f>
        <v>2.3800000000000003</v>
      </c>
      <c r="J200" s="86">
        <f t="shared" ref="J200:J214" si="42">G200*5%</f>
        <v>1.7000000000000002</v>
      </c>
    </row>
    <row r="201" spans="3:10" x14ac:dyDescent="0.25">
      <c r="C201" s="192"/>
      <c r="D201" s="193"/>
      <c r="E201" s="193"/>
      <c r="F201" s="130"/>
      <c r="G201" s="130">
        <v>78</v>
      </c>
      <c r="H201" s="131">
        <f>G201/G214</f>
        <v>2.7542372881355932E-2</v>
      </c>
      <c r="I201" s="130">
        <f t="shared" si="41"/>
        <v>5.4600000000000009</v>
      </c>
      <c r="J201" s="86">
        <f t="shared" si="42"/>
        <v>3.9000000000000004</v>
      </c>
    </row>
    <row r="202" spans="3:10" x14ac:dyDescent="0.25">
      <c r="C202" s="192"/>
      <c r="D202" s="193"/>
      <c r="E202" s="193"/>
      <c r="F202" s="130"/>
      <c r="G202" s="130"/>
      <c r="H202" s="131">
        <f>G202/G214</f>
        <v>0</v>
      </c>
      <c r="I202" s="130">
        <f t="shared" si="41"/>
        <v>0</v>
      </c>
      <c r="J202" s="86">
        <f t="shared" si="42"/>
        <v>0</v>
      </c>
    </row>
    <row r="203" spans="3:10" x14ac:dyDescent="0.25">
      <c r="C203" s="192"/>
      <c r="D203" s="193"/>
      <c r="E203" s="193"/>
      <c r="F203" s="130"/>
      <c r="G203" s="130"/>
      <c r="H203" s="131">
        <f>G203/G214</f>
        <v>0</v>
      </c>
      <c r="I203" s="130">
        <f t="shared" si="41"/>
        <v>0</v>
      </c>
      <c r="J203" s="86">
        <f t="shared" si="42"/>
        <v>0</v>
      </c>
    </row>
    <row r="204" spans="3:10" x14ac:dyDescent="0.25">
      <c r="C204" s="192"/>
      <c r="D204" s="193"/>
      <c r="E204" s="193"/>
      <c r="F204" s="130"/>
      <c r="G204" s="130"/>
      <c r="H204" s="131">
        <f>G204/G214</f>
        <v>0</v>
      </c>
      <c r="I204" s="130">
        <f t="shared" si="41"/>
        <v>0</v>
      </c>
      <c r="J204" s="86">
        <f t="shared" si="42"/>
        <v>0</v>
      </c>
    </row>
    <row r="205" spans="3:10" x14ac:dyDescent="0.25">
      <c r="C205" s="192"/>
      <c r="D205" s="193"/>
      <c r="E205" s="193"/>
      <c r="F205" s="130"/>
      <c r="G205" s="130"/>
      <c r="H205" s="131">
        <f>G205/G214</f>
        <v>0</v>
      </c>
      <c r="I205" s="130">
        <f t="shared" si="41"/>
        <v>0</v>
      </c>
      <c r="J205" s="86">
        <f t="shared" si="42"/>
        <v>0</v>
      </c>
    </row>
    <row r="206" spans="3:10" x14ac:dyDescent="0.25">
      <c r="C206" s="192"/>
      <c r="D206" s="193"/>
      <c r="E206" s="193"/>
      <c r="F206" s="130"/>
      <c r="G206" s="130"/>
      <c r="H206" s="131">
        <f>G206/G214</f>
        <v>0</v>
      </c>
      <c r="I206" s="130">
        <f t="shared" si="41"/>
        <v>0</v>
      </c>
      <c r="J206" s="86">
        <f t="shared" si="42"/>
        <v>0</v>
      </c>
    </row>
    <row r="207" spans="3:10" x14ac:dyDescent="0.25">
      <c r="C207" s="192"/>
      <c r="D207" s="193"/>
      <c r="E207" s="193"/>
      <c r="F207" s="130"/>
      <c r="G207" s="130"/>
      <c r="H207" s="131">
        <f>G207/G214</f>
        <v>0</v>
      </c>
      <c r="I207" s="130">
        <f t="shared" si="41"/>
        <v>0</v>
      </c>
      <c r="J207" s="86">
        <f t="shared" si="42"/>
        <v>0</v>
      </c>
    </row>
    <row r="208" spans="3:10" x14ac:dyDescent="0.25">
      <c r="C208" s="192"/>
      <c r="D208" s="193"/>
      <c r="E208" s="193"/>
      <c r="F208" s="130"/>
      <c r="G208" s="130"/>
      <c r="H208" s="131">
        <f>G208/G214</f>
        <v>0</v>
      </c>
      <c r="I208" s="130">
        <f t="shared" si="41"/>
        <v>0</v>
      </c>
      <c r="J208" s="86">
        <f t="shared" si="42"/>
        <v>0</v>
      </c>
    </row>
    <row r="209" spans="1:10" x14ac:dyDescent="0.25">
      <c r="C209" s="192"/>
      <c r="D209" s="193"/>
      <c r="E209" s="193"/>
      <c r="F209" s="130"/>
      <c r="G209" s="130"/>
      <c r="H209" s="131">
        <f>G209/G214</f>
        <v>0</v>
      </c>
      <c r="I209" s="130">
        <f t="shared" si="41"/>
        <v>0</v>
      </c>
      <c r="J209" s="86">
        <f t="shared" si="42"/>
        <v>0</v>
      </c>
    </row>
    <row r="210" spans="1:10" x14ac:dyDescent="0.25">
      <c r="C210" s="192"/>
      <c r="D210" s="193"/>
      <c r="E210" s="193"/>
      <c r="F210" s="130"/>
      <c r="G210" s="130"/>
      <c r="H210" s="131">
        <f>G210/G214</f>
        <v>0</v>
      </c>
      <c r="I210" s="130">
        <f t="shared" si="41"/>
        <v>0</v>
      </c>
      <c r="J210" s="86">
        <f t="shared" si="42"/>
        <v>0</v>
      </c>
    </row>
    <row r="211" spans="1:10" x14ac:dyDescent="0.25">
      <c r="C211" s="192"/>
      <c r="D211" s="193"/>
      <c r="E211" s="193"/>
      <c r="F211" s="130"/>
      <c r="G211" s="130"/>
      <c r="H211" s="131">
        <f>G211/G214</f>
        <v>0</v>
      </c>
      <c r="I211" s="130">
        <f t="shared" si="41"/>
        <v>0</v>
      </c>
      <c r="J211" s="86">
        <f t="shared" si="42"/>
        <v>0</v>
      </c>
    </row>
    <row r="212" spans="1:10" ht="14.4" thickBot="1" x14ac:dyDescent="0.3">
      <c r="C212" s="194"/>
      <c r="D212" s="195"/>
      <c r="E212" s="195"/>
      <c r="F212" s="132"/>
      <c r="G212" s="132"/>
      <c r="H212" s="133">
        <f>G212/G214</f>
        <v>0</v>
      </c>
      <c r="I212" s="132">
        <f t="shared" si="41"/>
        <v>0</v>
      </c>
      <c r="J212" s="113">
        <f t="shared" si="42"/>
        <v>0</v>
      </c>
    </row>
    <row r="213" spans="1:10" ht="14.4" thickBot="1" x14ac:dyDescent="0.3">
      <c r="C213" s="196" t="s">
        <v>81</v>
      </c>
      <c r="D213" s="197"/>
      <c r="E213" s="197"/>
      <c r="F213" s="134"/>
      <c r="G213" s="134">
        <f>SUM(G199:G212)</f>
        <v>792</v>
      </c>
      <c r="H213" s="135">
        <f>G213/G214</f>
        <v>0.27966101694915252</v>
      </c>
      <c r="I213" s="134">
        <f t="shared" si="41"/>
        <v>55.440000000000005</v>
      </c>
      <c r="J213" s="123">
        <f t="shared" si="42"/>
        <v>39.6</v>
      </c>
    </row>
    <row r="214" spans="1:10" ht="14.4" thickBot="1" x14ac:dyDescent="0.3">
      <c r="C214" s="196" t="s">
        <v>7</v>
      </c>
      <c r="D214" s="197"/>
      <c r="E214" s="197"/>
      <c r="F214" s="134"/>
      <c r="G214" s="134">
        <f>G197+G213</f>
        <v>2832</v>
      </c>
      <c r="H214" s="135">
        <f t="shared" ref="H214" si="43">G214/$G$214</f>
        <v>1</v>
      </c>
      <c r="I214" s="134">
        <f t="shared" si="41"/>
        <v>198.24</v>
      </c>
      <c r="J214" s="123">
        <f t="shared" si="42"/>
        <v>141.6</v>
      </c>
    </row>
    <row r="215" spans="1:10" ht="16.2" thickBot="1" x14ac:dyDescent="0.35">
      <c r="C215" s="6" t="str">
        <f>G62</f>
        <v>Finish Carpentry</v>
      </c>
      <c r="E215" s="5"/>
      <c r="F215" s="5"/>
    </row>
    <row r="216" spans="1:10" ht="14.4" thickBot="1" x14ac:dyDescent="0.3">
      <c r="A216" s="63" t="s">
        <v>72</v>
      </c>
      <c r="C216" s="196" t="s">
        <v>0</v>
      </c>
      <c r="D216" s="197"/>
      <c r="E216" s="197"/>
      <c r="F216" s="125" t="s">
        <v>1</v>
      </c>
      <c r="G216" s="126" t="s">
        <v>73</v>
      </c>
      <c r="H216" s="126" t="s">
        <v>83</v>
      </c>
      <c r="I216" s="125" t="s">
        <v>3</v>
      </c>
      <c r="J216" s="127" t="s">
        <v>4</v>
      </c>
    </row>
    <row r="217" spans="1:10" x14ac:dyDescent="0.25">
      <c r="C217" s="198" t="s">
        <v>74</v>
      </c>
      <c r="D217" s="199"/>
      <c r="E217" s="199"/>
      <c r="F217" s="199"/>
      <c r="G217" s="199"/>
      <c r="H217" s="199"/>
      <c r="I217" s="199"/>
      <c r="J217" s="128"/>
    </row>
    <row r="218" spans="1:10" x14ac:dyDescent="0.25">
      <c r="C218" s="192"/>
      <c r="D218" s="193"/>
      <c r="E218" s="193"/>
      <c r="F218" s="129"/>
      <c r="G218" s="130">
        <v>2780</v>
      </c>
      <c r="H218" s="131">
        <f>G218/G239</f>
        <v>0.31483578708946774</v>
      </c>
      <c r="I218" s="130">
        <f>G218*7%</f>
        <v>194.60000000000002</v>
      </c>
      <c r="J218" s="86">
        <f>G218*5%</f>
        <v>139</v>
      </c>
    </row>
    <row r="219" spans="1:10" x14ac:dyDescent="0.25">
      <c r="C219" s="192"/>
      <c r="D219" s="193"/>
      <c r="E219" s="193"/>
      <c r="F219" s="129"/>
      <c r="G219" s="130">
        <v>467</v>
      </c>
      <c r="H219" s="131">
        <f>G219/G239</f>
        <v>5.288788221970555E-2</v>
      </c>
      <c r="I219" s="130">
        <f t="shared" ref="I219:I222" si="44">G219*7%</f>
        <v>32.690000000000005</v>
      </c>
      <c r="J219" s="86">
        <f t="shared" ref="J219:J222" si="45">G219*5%</f>
        <v>23.35</v>
      </c>
    </row>
    <row r="220" spans="1:10" x14ac:dyDescent="0.25">
      <c r="C220" s="192"/>
      <c r="D220" s="193"/>
      <c r="E220" s="193"/>
      <c r="F220" s="130"/>
      <c r="G220" s="130">
        <v>356</v>
      </c>
      <c r="H220" s="131">
        <f>G220/G239</f>
        <v>4.0317100792751984E-2</v>
      </c>
      <c r="I220" s="130">
        <f t="shared" si="44"/>
        <v>24.92</v>
      </c>
      <c r="J220" s="86">
        <f t="shared" si="45"/>
        <v>17.8</v>
      </c>
    </row>
    <row r="221" spans="1:10" ht="14.4" thickBot="1" x14ac:dyDescent="0.3">
      <c r="C221" s="194"/>
      <c r="D221" s="195"/>
      <c r="E221" s="195"/>
      <c r="F221" s="132"/>
      <c r="G221" s="132">
        <v>1000</v>
      </c>
      <c r="H221" s="133">
        <f>G221/G239</f>
        <v>0.11325028312570781</v>
      </c>
      <c r="I221" s="132">
        <f t="shared" si="44"/>
        <v>70</v>
      </c>
      <c r="J221" s="113">
        <f t="shared" si="45"/>
        <v>50</v>
      </c>
    </row>
    <row r="222" spans="1:10" ht="14.4" thickBot="1" x14ac:dyDescent="0.3">
      <c r="C222" s="196" t="s">
        <v>82</v>
      </c>
      <c r="D222" s="197"/>
      <c r="E222" s="197"/>
      <c r="F222" s="134"/>
      <c r="G222" s="134">
        <f>SUM(G218:G221)</f>
        <v>4603</v>
      </c>
      <c r="H222" s="135">
        <f>G222/G239</f>
        <v>0.52129105322763303</v>
      </c>
      <c r="I222" s="134">
        <f t="shared" si="44"/>
        <v>322.21000000000004</v>
      </c>
      <c r="J222" s="123">
        <f t="shared" si="45"/>
        <v>230.15</v>
      </c>
    </row>
    <row r="223" spans="1:10" x14ac:dyDescent="0.25">
      <c r="C223" s="198" t="s">
        <v>75</v>
      </c>
      <c r="D223" s="199"/>
      <c r="E223" s="199"/>
      <c r="F223" s="199"/>
      <c r="G223" s="199"/>
      <c r="H223" s="199"/>
      <c r="I223" s="199"/>
      <c r="J223" s="128"/>
    </row>
    <row r="224" spans="1:10" x14ac:dyDescent="0.25">
      <c r="C224" s="192"/>
      <c r="D224" s="193"/>
      <c r="E224" s="193"/>
      <c r="F224" s="129"/>
      <c r="G224" s="130">
        <v>3578</v>
      </c>
      <c r="H224" s="131">
        <f>G224/G239</f>
        <v>0.40520951302378255</v>
      </c>
      <c r="I224" s="130">
        <f>G224*7%</f>
        <v>250.46000000000004</v>
      </c>
      <c r="J224" s="86">
        <f>G224*5%</f>
        <v>178.9</v>
      </c>
    </row>
    <row r="225" spans="3:10" x14ac:dyDescent="0.25">
      <c r="C225" s="192"/>
      <c r="D225" s="193"/>
      <c r="E225" s="193"/>
      <c r="F225" s="129"/>
      <c r="G225" s="130">
        <v>560</v>
      </c>
      <c r="H225" s="131">
        <f>G225/G239</f>
        <v>6.3420158550396372E-2</v>
      </c>
      <c r="I225" s="130">
        <f t="shared" ref="I225:I239" si="46">G225*7%</f>
        <v>39.200000000000003</v>
      </c>
      <c r="J225" s="86">
        <f t="shared" ref="J225:J239" si="47">G225*5%</f>
        <v>28</v>
      </c>
    </row>
    <row r="226" spans="3:10" x14ac:dyDescent="0.25">
      <c r="C226" s="192"/>
      <c r="D226" s="193"/>
      <c r="E226" s="193"/>
      <c r="F226" s="130"/>
      <c r="G226" s="130">
        <v>89</v>
      </c>
      <c r="H226" s="131">
        <f>G226/G239</f>
        <v>1.0079275198187996E-2</v>
      </c>
      <c r="I226" s="130">
        <f t="shared" si="46"/>
        <v>6.23</v>
      </c>
      <c r="J226" s="86">
        <f t="shared" si="47"/>
        <v>4.45</v>
      </c>
    </row>
    <row r="227" spans="3:10" x14ac:dyDescent="0.25">
      <c r="C227" s="192"/>
      <c r="D227" s="193"/>
      <c r="E227" s="193"/>
      <c r="F227" s="130"/>
      <c r="G227" s="130"/>
      <c r="H227" s="131">
        <f>G227/G239</f>
        <v>0</v>
      </c>
      <c r="I227" s="130">
        <f t="shared" si="46"/>
        <v>0</v>
      </c>
      <c r="J227" s="86">
        <f t="shared" si="47"/>
        <v>0</v>
      </c>
    </row>
    <row r="228" spans="3:10" x14ac:dyDescent="0.25">
      <c r="C228" s="192"/>
      <c r="D228" s="193"/>
      <c r="E228" s="193"/>
      <c r="F228" s="130"/>
      <c r="G228" s="130"/>
      <c r="H228" s="131">
        <f>G228/G239</f>
        <v>0</v>
      </c>
      <c r="I228" s="130">
        <f t="shared" si="46"/>
        <v>0</v>
      </c>
      <c r="J228" s="86">
        <f t="shared" si="47"/>
        <v>0</v>
      </c>
    </row>
    <row r="229" spans="3:10" x14ac:dyDescent="0.25">
      <c r="C229" s="192"/>
      <c r="D229" s="193"/>
      <c r="E229" s="193"/>
      <c r="F229" s="130"/>
      <c r="G229" s="130"/>
      <c r="H229" s="131">
        <f>G229/G239</f>
        <v>0</v>
      </c>
      <c r="I229" s="130">
        <f t="shared" si="46"/>
        <v>0</v>
      </c>
      <c r="J229" s="86">
        <f t="shared" si="47"/>
        <v>0</v>
      </c>
    </row>
    <row r="230" spans="3:10" x14ac:dyDescent="0.25">
      <c r="C230" s="192"/>
      <c r="D230" s="193"/>
      <c r="E230" s="193"/>
      <c r="F230" s="130"/>
      <c r="G230" s="130"/>
      <c r="H230" s="131">
        <f>G230/G239</f>
        <v>0</v>
      </c>
      <c r="I230" s="130">
        <f t="shared" si="46"/>
        <v>0</v>
      </c>
      <c r="J230" s="86">
        <f t="shared" si="47"/>
        <v>0</v>
      </c>
    </row>
    <row r="231" spans="3:10" x14ac:dyDescent="0.25">
      <c r="C231" s="192"/>
      <c r="D231" s="193"/>
      <c r="E231" s="193"/>
      <c r="F231" s="130"/>
      <c r="G231" s="130"/>
      <c r="H231" s="131">
        <f>G231/G239</f>
        <v>0</v>
      </c>
      <c r="I231" s="130">
        <f t="shared" si="46"/>
        <v>0</v>
      </c>
      <c r="J231" s="86">
        <f t="shared" si="47"/>
        <v>0</v>
      </c>
    </row>
    <row r="232" spans="3:10" x14ac:dyDescent="0.25">
      <c r="C232" s="192"/>
      <c r="D232" s="193"/>
      <c r="E232" s="193"/>
      <c r="F232" s="130"/>
      <c r="G232" s="130"/>
      <c r="H232" s="131">
        <f>G232/G239</f>
        <v>0</v>
      </c>
      <c r="I232" s="130">
        <f t="shared" si="46"/>
        <v>0</v>
      </c>
      <c r="J232" s="86">
        <f t="shared" si="47"/>
        <v>0</v>
      </c>
    </row>
    <row r="233" spans="3:10" x14ac:dyDescent="0.25">
      <c r="C233" s="192"/>
      <c r="D233" s="193"/>
      <c r="E233" s="193"/>
      <c r="F233" s="130"/>
      <c r="G233" s="130"/>
      <c r="H233" s="131">
        <f>G233/G239</f>
        <v>0</v>
      </c>
      <c r="I233" s="130">
        <f t="shared" si="46"/>
        <v>0</v>
      </c>
      <c r="J233" s="86">
        <f t="shared" si="47"/>
        <v>0</v>
      </c>
    </row>
    <row r="234" spans="3:10" x14ac:dyDescent="0.25">
      <c r="C234" s="192"/>
      <c r="D234" s="193"/>
      <c r="E234" s="193"/>
      <c r="F234" s="130"/>
      <c r="G234" s="130"/>
      <c r="H234" s="131">
        <f>G234/G239</f>
        <v>0</v>
      </c>
      <c r="I234" s="130">
        <f t="shared" si="46"/>
        <v>0</v>
      </c>
      <c r="J234" s="86">
        <f t="shared" si="47"/>
        <v>0</v>
      </c>
    </row>
    <row r="235" spans="3:10" x14ac:dyDescent="0.25">
      <c r="C235" s="192"/>
      <c r="D235" s="193"/>
      <c r="E235" s="193"/>
      <c r="F235" s="130"/>
      <c r="G235" s="130"/>
      <c r="H235" s="131">
        <f>G235/G239</f>
        <v>0</v>
      </c>
      <c r="I235" s="130">
        <f t="shared" si="46"/>
        <v>0</v>
      </c>
      <c r="J235" s="86">
        <f t="shared" si="47"/>
        <v>0</v>
      </c>
    </row>
    <row r="236" spans="3:10" x14ac:dyDescent="0.25">
      <c r="C236" s="192"/>
      <c r="D236" s="193"/>
      <c r="E236" s="193"/>
      <c r="F236" s="130"/>
      <c r="G236" s="130"/>
      <c r="H236" s="131">
        <f>G236/G239</f>
        <v>0</v>
      </c>
      <c r="I236" s="130">
        <f t="shared" si="46"/>
        <v>0</v>
      </c>
      <c r="J236" s="86">
        <f t="shared" si="47"/>
        <v>0</v>
      </c>
    </row>
    <row r="237" spans="3:10" ht="14.4" thickBot="1" x14ac:dyDescent="0.3">
      <c r="C237" s="194"/>
      <c r="D237" s="195"/>
      <c r="E237" s="195"/>
      <c r="F237" s="132"/>
      <c r="G237" s="132"/>
      <c r="H237" s="133">
        <f>G237/G239</f>
        <v>0</v>
      </c>
      <c r="I237" s="132">
        <f t="shared" si="46"/>
        <v>0</v>
      </c>
      <c r="J237" s="113">
        <f t="shared" si="47"/>
        <v>0</v>
      </c>
    </row>
    <row r="238" spans="3:10" ht="14.4" thickBot="1" x14ac:dyDescent="0.3">
      <c r="C238" s="196" t="s">
        <v>81</v>
      </c>
      <c r="D238" s="197"/>
      <c r="E238" s="197"/>
      <c r="F238" s="134"/>
      <c r="G238" s="134">
        <f>SUM(G224:G237)</f>
        <v>4227</v>
      </c>
      <c r="H238" s="135">
        <f>G238/G239</f>
        <v>0.47870894677236692</v>
      </c>
      <c r="I238" s="134">
        <f t="shared" si="46"/>
        <v>295.89000000000004</v>
      </c>
      <c r="J238" s="123">
        <f t="shared" si="47"/>
        <v>211.35000000000002</v>
      </c>
    </row>
    <row r="239" spans="3:10" ht="14.4" thickBot="1" x14ac:dyDescent="0.3">
      <c r="C239" s="196" t="s">
        <v>7</v>
      </c>
      <c r="D239" s="197"/>
      <c r="E239" s="197"/>
      <c r="F239" s="134"/>
      <c r="G239" s="134">
        <f>G222+G238</f>
        <v>8830</v>
      </c>
      <c r="H239" s="135">
        <f>G239/G239</f>
        <v>1</v>
      </c>
      <c r="I239" s="134">
        <f t="shared" si="46"/>
        <v>618.1</v>
      </c>
      <c r="J239" s="123">
        <f t="shared" si="47"/>
        <v>441.5</v>
      </c>
    </row>
    <row r="240" spans="3:10" ht="16.2" thickBot="1" x14ac:dyDescent="0.35">
      <c r="C240" s="6" t="str">
        <f>G63</f>
        <v>Kitchen cabinet</v>
      </c>
      <c r="E240" s="5"/>
      <c r="F240" s="5"/>
    </row>
    <row r="241" spans="1:10" ht="14.4" thickBot="1" x14ac:dyDescent="0.3">
      <c r="A241" s="63" t="s">
        <v>72</v>
      </c>
      <c r="C241" s="196" t="s">
        <v>0</v>
      </c>
      <c r="D241" s="197"/>
      <c r="E241" s="197"/>
      <c r="F241" s="125" t="s">
        <v>1</v>
      </c>
      <c r="G241" s="126" t="s">
        <v>73</v>
      </c>
      <c r="H241" s="126" t="s">
        <v>83</v>
      </c>
      <c r="I241" s="125" t="s">
        <v>3</v>
      </c>
      <c r="J241" s="127" t="s">
        <v>4</v>
      </c>
    </row>
    <row r="242" spans="1:10" x14ac:dyDescent="0.25">
      <c r="C242" s="198" t="s">
        <v>74</v>
      </c>
      <c r="D242" s="199"/>
      <c r="E242" s="199"/>
      <c r="F242" s="199"/>
      <c r="G242" s="199"/>
      <c r="H242" s="199"/>
      <c r="I242" s="199"/>
      <c r="J242" s="128"/>
    </row>
    <row r="243" spans="1:10" x14ac:dyDescent="0.25">
      <c r="C243" s="192"/>
      <c r="D243" s="193"/>
      <c r="E243" s="193"/>
      <c r="F243" s="129"/>
      <c r="G243" s="130">
        <v>6000</v>
      </c>
      <c r="H243" s="131">
        <f>G243/G264</f>
        <v>0.32327586206896552</v>
      </c>
      <c r="I243" s="130">
        <f>G243*7%</f>
        <v>420.00000000000006</v>
      </c>
      <c r="J243" s="86">
        <f>G243*5%</f>
        <v>300</v>
      </c>
    </row>
    <row r="244" spans="1:10" x14ac:dyDescent="0.25">
      <c r="C244" s="192"/>
      <c r="D244" s="193"/>
      <c r="E244" s="193"/>
      <c r="F244" s="129"/>
      <c r="G244" s="130">
        <v>560</v>
      </c>
      <c r="H244" s="131">
        <f>G244/G264</f>
        <v>3.017241379310345E-2</v>
      </c>
      <c r="I244" s="130">
        <f t="shared" ref="I244:I247" si="48">G244*7%</f>
        <v>39.200000000000003</v>
      </c>
      <c r="J244" s="86">
        <f t="shared" ref="J244:J247" si="49">G244*5%</f>
        <v>28</v>
      </c>
    </row>
    <row r="245" spans="1:10" x14ac:dyDescent="0.25">
      <c r="C245" s="192"/>
      <c r="D245" s="193"/>
      <c r="E245" s="193"/>
      <c r="F245" s="130"/>
      <c r="G245" s="130"/>
      <c r="H245" s="131">
        <f>G245/G264</f>
        <v>0</v>
      </c>
      <c r="I245" s="130">
        <f t="shared" si="48"/>
        <v>0</v>
      </c>
      <c r="J245" s="86">
        <f t="shared" si="49"/>
        <v>0</v>
      </c>
    </row>
    <row r="246" spans="1:10" ht="14.4" thickBot="1" x14ac:dyDescent="0.3">
      <c r="C246" s="194"/>
      <c r="D246" s="195"/>
      <c r="E246" s="195"/>
      <c r="F246" s="132"/>
      <c r="G246" s="132"/>
      <c r="H246" s="133">
        <f>G246/G264</f>
        <v>0</v>
      </c>
      <c r="I246" s="132">
        <f t="shared" si="48"/>
        <v>0</v>
      </c>
      <c r="J246" s="113">
        <f t="shared" si="49"/>
        <v>0</v>
      </c>
    </row>
    <row r="247" spans="1:10" ht="14.4" thickBot="1" x14ac:dyDescent="0.3">
      <c r="C247" s="196" t="s">
        <v>82</v>
      </c>
      <c r="D247" s="197"/>
      <c r="E247" s="197"/>
      <c r="F247" s="134"/>
      <c r="G247" s="134">
        <f>SUM(G243:G246)</f>
        <v>6560</v>
      </c>
      <c r="H247" s="135">
        <f>G247/G264</f>
        <v>0.35344827586206895</v>
      </c>
      <c r="I247" s="134">
        <f t="shared" si="48"/>
        <v>459.20000000000005</v>
      </c>
      <c r="J247" s="123">
        <f t="shared" si="49"/>
        <v>328</v>
      </c>
    </row>
    <row r="248" spans="1:10" x14ac:dyDescent="0.25">
      <c r="C248" s="198" t="s">
        <v>75</v>
      </c>
      <c r="D248" s="199"/>
      <c r="E248" s="199"/>
      <c r="F248" s="199"/>
      <c r="G248" s="199"/>
      <c r="H248" s="199"/>
      <c r="I248" s="199"/>
      <c r="J248" s="128"/>
    </row>
    <row r="249" spans="1:10" x14ac:dyDescent="0.25">
      <c r="C249" s="192"/>
      <c r="D249" s="193"/>
      <c r="E249" s="193"/>
      <c r="F249" s="129"/>
      <c r="G249" s="130">
        <v>12000</v>
      </c>
      <c r="H249" s="131">
        <f>G249/G264</f>
        <v>0.64655172413793105</v>
      </c>
      <c r="I249" s="130">
        <f>G249*7%</f>
        <v>840.00000000000011</v>
      </c>
      <c r="J249" s="86">
        <f>G249*5%</f>
        <v>600</v>
      </c>
    </row>
    <row r="250" spans="1:10" x14ac:dyDescent="0.25">
      <c r="C250" s="192"/>
      <c r="D250" s="193"/>
      <c r="E250" s="193"/>
      <c r="F250" s="129"/>
      <c r="G250" s="130"/>
      <c r="H250" s="131">
        <f>G250/G264</f>
        <v>0</v>
      </c>
      <c r="I250" s="130">
        <f t="shared" ref="I250:I264" si="50">G250*7%</f>
        <v>0</v>
      </c>
      <c r="J250" s="86">
        <f t="shared" ref="J250:J264" si="51">G250*5%</f>
        <v>0</v>
      </c>
    </row>
    <row r="251" spans="1:10" x14ac:dyDescent="0.25">
      <c r="C251" s="192"/>
      <c r="D251" s="193"/>
      <c r="E251" s="193"/>
      <c r="F251" s="130"/>
      <c r="G251" s="130"/>
      <c r="H251" s="131">
        <f>G251/G264</f>
        <v>0</v>
      </c>
      <c r="I251" s="130">
        <f t="shared" si="50"/>
        <v>0</v>
      </c>
      <c r="J251" s="86">
        <f t="shared" si="51"/>
        <v>0</v>
      </c>
    </row>
    <row r="252" spans="1:10" x14ac:dyDescent="0.25">
      <c r="C252" s="192"/>
      <c r="D252" s="193"/>
      <c r="E252" s="193"/>
      <c r="F252" s="130"/>
      <c r="G252" s="130"/>
      <c r="H252" s="131">
        <f>G252/G264</f>
        <v>0</v>
      </c>
      <c r="I252" s="130">
        <f t="shared" si="50"/>
        <v>0</v>
      </c>
      <c r="J252" s="86">
        <f t="shared" si="51"/>
        <v>0</v>
      </c>
    </row>
    <row r="253" spans="1:10" x14ac:dyDescent="0.25">
      <c r="C253" s="192"/>
      <c r="D253" s="193"/>
      <c r="E253" s="193"/>
      <c r="F253" s="130"/>
      <c r="G253" s="130"/>
      <c r="H253" s="131">
        <f>G253/G264</f>
        <v>0</v>
      </c>
      <c r="I253" s="130">
        <f t="shared" si="50"/>
        <v>0</v>
      </c>
      <c r="J253" s="86">
        <f t="shared" si="51"/>
        <v>0</v>
      </c>
    </row>
    <row r="254" spans="1:10" x14ac:dyDescent="0.25">
      <c r="C254" s="192"/>
      <c r="D254" s="193"/>
      <c r="E254" s="193"/>
      <c r="F254" s="130"/>
      <c r="G254" s="130"/>
      <c r="H254" s="131">
        <f>G254/G264</f>
        <v>0</v>
      </c>
      <c r="I254" s="130">
        <f t="shared" si="50"/>
        <v>0</v>
      </c>
      <c r="J254" s="86">
        <f t="shared" si="51"/>
        <v>0</v>
      </c>
    </row>
    <row r="255" spans="1:10" x14ac:dyDescent="0.25">
      <c r="C255" s="192"/>
      <c r="D255" s="193"/>
      <c r="E255" s="193"/>
      <c r="F255" s="130"/>
      <c r="G255" s="130"/>
      <c r="H255" s="131">
        <f>G255/G264</f>
        <v>0</v>
      </c>
      <c r="I255" s="130">
        <f t="shared" si="50"/>
        <v>0</v>
      </c>
      <c r="J255" s="86">
        <f t="shared" si="51"/>
        <v>0</v>
      </c>
    </row>
    <row r="256" spans="1:10" x14ac:dyDescent="0.25">
      <c r="C256" s="192"/>
      <c r="D256" s="193"/>
      <c r="E256" s="193"/>
      <c r="F256" s="130"/>
      <c r="G256" s="130"/>
      <c r="H256" s="131">
        <f>G256/G264</f>
        <v>0</v>
      </c>
      <c r="I256" s="130">
        <f t="shared" si="50"/>
        <v>0</v>
      </c>
      <c r="J256" s="86">
        <f t="shared" si="51"/>
        <v>0</v>
      </c>
    </row>
    <row r="257" spans="1:10" x14ac:dyDescent="0.25">
      <c r="C257" s="192"/>
      <c r="D257" s="193"/>
      <c r="E257" s="193"/>
      <c r="F257" s="130"/>
      <c r="G257" s="130"/>
      <c r="H257" s="131">
        <f>G257/G264</f>
        <v>0</v>
      </c>
      <c r="I257" s="130">
        <f t="shared" si="50"/>
        <v>0</v>
      </c>
      <c r="J257" s="86">
        <f t="shared" si="51"/>
        <v>0</v>
      </c>
    </row>
    <row r="258" spans="1:10" x14ac:dyDescent="0.25">
      <c r="C258" s="192"/>
      <c r="D258" s="193"/>
      <c r="E258" s="193"/>
      <c r="F258" s="130"/>
      <c r="G258" s="130"/>
      <c r="H258" s="131">
        <f>G258/G264</f>
        <v>0</v>
      </c>
      <c r="I258" s="130">
        <f t="shared" si="50"/>
        <v>0</v>
      </c>
      <c r="J258" s="86">
        <f t="shared" si="51"/>
        <v>0</v>
      </c>
    </row>
    <row r="259" spans="1:10" x14ac:dyDescent="0.25">
      <c r="C259" s="192"/>
      <c r="D259" s="193"/>
      <c r="E259" s="193"/>
      <c r="F259" s="130"/>
      <c r="G259" s="130"/>
      <c r="H259" s="131">
        <f>G259/G264</f>
        <v>0</v>
      </c>
      <c r="I259" s="130">
        <f t="shared" si="50"/>
        <v>0</v>
      </c>
      <c r="J259" s="86">
        <f t="shared" si="51"/>
        <v>0</v>
      </c>
    </row>
    <row r="260" spans="1:10" x14ac:dyDescent="0.25">
      <c r="C260" s="192"/>
      <c r="D260" s="193"/>
      <c r="E260" s="193"/>
      <c r="F260" s="130"/>
      <c r="G260" s="130"/>
      <c r="H260" s="131">
        <f>G260/G264</f>
        <v>0</v>
      </c>
      <c r="I260" s="130">
        <f t="shared" si="50"/>
        <v>0</v>
      </c>
      <c r="J260" s="86">
        <f t="shared" si="51"/>
        <v>0</v>
      </c>
    </row>
    <row r="261" spans="1:10" x14ac:dyDescent="0.25">
      <c r="C261" s="192"/>
      <c r="D261" s="193"/>
      <c r="E261" s="193"/>
      <c r="F261" s="130"/>
      <c r="G261" s="130"/>
      <c r="H261" s="131">
        <f>G261/G264</f>
        <v>0</v>
      </c>
      <c r="I261" s="130">
        <f t="shared" si="50"/>
        <v>0</v>
      </c>
      <c r="J261" s="86">
        <f t="shared" si="51"/>
        <v>0</v>
      </c>
    </row>
    <row r="262" spans="1:10" ht="14.4" thickBot="1" x14ac:dyDescent="0.3">
      <c r="C262" s="194"/>
      <c r="D262" s="195"/>
      <c r="E262" s="195"/>
      <c r="F262" s="132"/>
      <c r="G262" s="132"/>
      <c r="H262" s="133">
        <f>G262/G264</f>
        <v>0</v>
      </c>
      <c r="I262" s="132">
        <f t="shared" si="50"/>
        <v>0</v>
      </c>
      <c r="J262" s="113">
        <f t="shared" si="51"/>
        <v>0</v>
      </c>
    </row>
    <row r="263" spans="1:10" ht="14.4" thickBot="1" x14ac:dyDescent="0.3">
      <c r="C263" s="196" t="s">
        <v>81</v>
      </c>
      <c r="D263" s="197"/>
      <c r="E263" s="197"/>
      <c r="F263" s="134"/>
      <c r="G263" s="134">
        <f>SUM(G249:G262)</f>
        <v>12000</v>
      </c>
      <c r="H263" s="135">
        <f>G263/G264</f>
        <v>0.64655172413793105</v>
      </c>
      <c r="I263" s="134">
        <f t="shared" si="50"/>
        <v>840.00000000000011</v>
      </c>
      <c r="J263" s="123">
        <f t="shared" si="51"/>
        <v>600</v>
      </c>
    </row>
    <row r="264" spans="1:10" ht="14.4" thickBot="1" x14ac:dyDescent="0.3">
      <c r="C264" s="196" t="s">
        <v>7</v>
      </c>
      <c r="D264" s="197"/>
      <c r="E264" s="197"/>
      <c r="F264" s="134"/>
      <c r="G264" s="134">
        <f>G247+G263</f>
        <v>18560</v>
      </c>
      <c r="H264" s="135">
        <f>G264/G264</f>
        <v>1</v>
      </c>
      <c r="I264" s="134">
        <f t="shared" si="50"/>
        <v>1299.2</v>
      </c>
      <c r="J264" s="123">
        <f t="shared" si="51"/>
        <v>928</v>
      </c>
    </row>
    <row r="265" spans="1:10" ht="16.2" thickBot="1" x14ac:dyDescent="0.35">
      <c r="C265" s="6" t="str">
        <f>G64</f>
        <v>Bathroom</v>
      </c>
      <c r="E265" s="5"/>
      <c r="F265" s="5"/>
    </row>
    <row r="266" spans="1:10" ht="14.4" thickBot="1" x14ac:dyDescent="0.3">
      <c r="A266" s="63" t="s">
        <v>72</v>
      </c>
      <c r="C266" s="196" t="s">
        <v>0</v>
      </c>
      <c r="D266" s="197"/>
      <c r="E266" s="197"/>
      <c r="F266" s="125" t="s">
        <v>1</v>
      </c>
      <c r="G266" s="126" t="s">
        <v>73</v>
      </c>
      <c r="H266" s="126" t="s">
        <v>83</v>
      </c>
      <c r="I266" s="125" t="s">
        <v>3</v>
      </c>
      <c r="J266" s="127" t="s">
        <v>4</v>
      </c>
    </row>
    <row r="267" spans="1:10" x14ac:dyDescent="0.25">
      <c r="C267" s="198" t="s">
        <v>74</v>
      </c>
      <c r="D267" s="199"/>
      <c r="E267" s="199"/>
      <c r="F267" s="199"/>
      <c r="G267" s="199"/>
      <c r="H267" s="199"/>
      <c r="I267" s="199"/>
      <c r="J267" s="128"/>
    </row>
    <row r="268" spans="1:10" x14ac:dyDescent="0.25">
      <c r="C268" s="192"/>
      <c r="D268" s="193"/>
      <c r="E268" s="193"/>
      <c r="F268" s="129"/>
      <c r="G268" s="130">
        <v>2700</v>
      </c>
      <c r="H268" s="131">
        <f>G268/G289</f>
        <v>0.46728971962616822</v>
      </c>
      <c r="I268" s="130">
        <f>G268*7%</f>
        <v>189.00000000000003</v>
      </c>
      <c r="J268" s="86">
        <f>G268*5%</f>
        <v>135</v>
      </c>
    </row>
    <row r="269" spans="1:10" x14ac:dyDescent="0.25">
      <c r="C269" s="192"/>
      <c r="D269" s="193"/>
      <c r="E269" s="193"/>
      <c r="F269" s="129"/>
      <c r="G269" s="130">
        <v>560</v>
      </c>
      <c r="H269" s="131">
        <f>G269/G289</f>
        <v>9.6919349255797857E-2</v>
      </c>
      <c r="I269" s="130">
        <f t="shared" ref="I269:I272" si="52">G269*7%</f>
        <v>39.200000000000003</v>
      </c>
      <c r="J269" s="86">
        <f t="shared" ref="J269:J272" si="53">G269*5%</f>
        <v>28</v>
      </c>
    </row>
    <row r="270" spans="1:10" x14ac:dyDescent="0.25">
      <c r="C270" s="192"/>
      <c r="D270" s="193"/>
      <c r="E270" s="193"/>
      <c r="F270" s="130"/>
      <c r="G270" s="130"/>
      <c r="H270" s="131">
        <f>G270/G289</f>
        <v>0</v>
      </c>
      <c r="I270" s="130">
        <f t="shared" si="52"/>
        <v>0</v>
      </c>
      <c r="J270" s="86">
        <f t="shared" si="53"/>
        <v>0</v>
      </c>
    </row>
    <row r="271" spans="1:10" ht="14.4" thickBot="1" x14ac:dyDescent="0.3">
      <c r="C271" s="194"/>
      <c r="D271" s="195"/>
      <c r="E271" s="195"/>
      <c r="F271" s="132"/>
      <c r="G271" s="132"/>
      <c r="H271" s="133">
        <f>G271/G289</f>
        <v>0</v>
      </c>
      <c r="I271" s="132">
        <f t="shared" si="52"/>
        <v>0</v>
      </c>
      <c r="J271" s="113">
        <f t="shared" si="53"/>
        <v>0</v>
      </c>
    </row>
    <row r="272" spans="1:10" ht="14.4" thickBot="1" x14ac:dyDescent="0.3">
      <c r="C272" s="196" t="s">
        <v>82</v>
      </c>
      <c r="D272" s="197"/>
      <c r="E272" s="197"/>
      <c r="F272" s="134"/>
      <c r="G272" s="134">
        <f>SUM(G268:G271)</f>
        <v>3260</v>
      </c>
      <c r="H272" s="135">
        <f>G272/G289</f>
        <v>0.56420906888196609</v>
      </c>
      <c r="I272" s="134">
        <f t="shared" si="52"/>
        <v>228.20000000000002</v>
      </c>
      <c r="J272" s="123">
        <f t="shared" si="53"/>
        <v>163</v>
      </c>
    </row>
    <row r="273" spans="3:10" x14ac:dyDescent="0.25">
      <c r="C273" s="198" t="s">
        <v>75</v>
      </c>
      <c r="D273" s="199"/>
      <c r="E273" s="199"/>
      <c r="F273" s="199"/>
      <c r="G273" s="199"/>
      <c r="H273" s="199"/>
      <c r="I273" s="199"/>
      <c r="J273" s="128"/>
    </row>
    <row r="274" spans="3:10" x14ac:dyDescent="0.25">
      <c r="C274" s="192"/>
      <c r="D274" s="193"/>
      <c r="E274" s="193"/>
      <c r="F274" s="129"/>
      <c r="G274" s="130">
        <v>1000</v>
      </c>
      <c r="H274" s="131">
        <f>G274/G289</f>
        <v>0.17307026652821045</v>
      </c>
      <c r="I274" s="130">
        <f>G274*7%</f>
        <v>70</v>
      </c>
      <c r="J274" s="86">
        <f>G274*5%</f>
        <v>50</v>
      </c>
    </row>
    <row r="275" spans="3:10" x14ac:dyDescent="0.25">
      <c r="C275" s="192"/>
      <c r="D275" s="193"/>
      <c r="E275" s="193"/>
      <c r="F275" s="129"/>
      <c r="G275" s="130">
        <v>280</v>
      </c>
      <c r="H275" s="131">
        <f>G275/G289</f>
        <v>4.8459674627898928E-2</v>
      </c>
      <c r="I275" s="130">
        <f t="shared" ref="I275:I289" si="54">G275*7%</f>
        <v>19.600000000000001</v>
      </c>
      <c r="J275" s="86">
        <f t="shared" ref="J275:J289" si="55">G275*5%</f>
        <v>14</v>
      </c>
    </row>
    <row r="276" spans="3:10" x14ac:dyDescent="0.25">
      <c r="C276" s="192"/>
      <c r="D276" s="193"/>
      <c r="E276" s="193"/>
      <c r="F276" s="130"/>
      <c r="G276" s="130">
        <v>880</v>
      </c>
      <c r="H276" s="131">
        <f>G276/G289</f>
        <v>0.15230183454482521</v>
      </c>
      <c r="I276" s="130">
        <f t="shared" si="54"/>
        <v>61.600000000000009</v>
      </c>
      <c r="J276" s="86">
        <f t="shared" si="55"/>
        <v>44</v>
      </c>
    </row>
    <row r="277" spans="3:10" x14ac:dyDescent="0.25">
      <c r="C277" s="192"/>
      <c r="D277" s="193"/>
      <c r="E277" s="193"/>
      <c r="F277" s="130"/>
      <c r="G277" s="130">
        <v>58</v>
      </c>
      <c r="H277" s="131">
        <f>G277/G289</f>
        <v>1.0038075458636206E-2</v>
      </c>
      <c r="I277" s="130">
        <f t="shared" si="54"/>
        <v>4.0600000000000005</v>
      </c>
      <c r="J277" s="86">
        <f t="shared" si="55"/>
        <v>2.9000000000000004</v>
      </c>
    </row>
    <row r="278" spans="3:10" x14ac:dyDescent="0.25">
      <c r="C278" s="192"/>
      <c r="D278" s="193"/>
      <c r="E278" s="193"/>
      <c r="F278" s="130"/>
      <c r="G278" s="130">
        <v>300</v>
      </c>
      <c r="H278" s="131">
        <f>G278/G289</f>
        <v>5.1921079958463137E-2</v>
      </c>
      <c r="I278" s="130">
        <f t="shared" si="54"/>
        <v>21.000000000000004</v>
      </c>
      <c r="J278" s="86">
        <f t="shared" si="55"/>
        <v>15</v>
      </c>
    </row>
    <row r="279" spans="3:10" x14ac:dyDescent="0.25">
      <c r="C279" s="192"/>
      <c r="D279" s="193"/>
      <c r="E279" s="193"/>
      <c r="F279" s="130"/>
      <c r="G279" s="130"/>
      <c r="H279" s="131">
        <f>G279/G289</f>
        <v>0</v>
      </c>
      <c r="I279" s="130">
        <f t="shared" si="54"/>
        <v>0</v>
      </c>
      <c r="J279" s="86">
        <f t="shared" si="55"/>
        <v>0</v>
      </c>
    </row>
    <row r="280" spans="3:10" x14ac:dyDescent="0.25">
      <c r="C280" s="192"/>
      <c r="D280" s="193"/>
      <c r="E280" s="193"/>
      <c r="F280" s="130"/>
      <c r="G280" s="130"/>
      <c r="H280" s="131">
        <f>G280/G289</f>
        <v>0</v>
      </c>
      <c r="I280" s="130">
        <f t="shared" si="54"/>
        <v>0</v>
      </c>
      <c r="J280" s="86">
        <f t="shared" si="55"/>
        <v>0</v>
      </c>
    </row>
    <row r="281" spans="3:10" x14ac:dyDescent="0.25">
      <c r="C281" s="192"/>
      <c r="D281" s="193"/>
      <c r="E281" s="193"/>
      <c r="F281" s="130"/>
      <c r="G281" s="130"/>
      <c r="H281" s="131">
        <f>G281/G289</f>
        <v>0</v>
      </c>
      <c r="I281" s="130">
        <f t="shared" si="54"/>
        <v>0</v>
      </c>
      <c r="J281" s="86">
        <f t="shared" si="55"/>
        <v>0</v>
      </c>
    </row>
    <row r="282" spans="3:10" x14ac:dyDescent="0.25">
      <c r="C282" s="192"/>
      <c r="D282" s="193"/>
      <c r="E282" s="193"/>
      <c r="F282" s="130"/>
      <c r="G282" s="130"/>
      <c r="H282" s="131">
        <f>G282/G289</f>
        <v>0</v>
      </c>
      <c r="I282" s="130">
        <f t="shared" si="54"/>
        <v>0</v>
      </c>
      <c r="J282" s="86">
        <f t="shared" si="55"/>
        <v>0</v>
      </c>
    </row>
    <row r="283" spans="3:10" x14ac:dyDescent="0.25">
      <c r="C283" s="192"/>
      <c r="D283" s="193"/>
      <c r="E283" s="193"/>
      <c r="F283" s="130"/>
      <c r="G283" s="130"/>
      <c r="H283" s="131">
        <f>G283/G289</f>
        <v>0</v>
      </c>
      <c r="I283" s="130">
        <f t="shared" si="54"/>
        <v>0</v>
      </c>
      <c r="J283" s="86">
        <f t="shared" si="55"/>
        <v>0</v>
      </c>
    </row>
    <row r="284" spans="3:10" x14ac:dyDescent="0.25">
      <c r="C284" s="192"/>
      <c r="D284" s="193"/>
      <c r="E284" s="193"/>
      <c r="F284" s="130"/>
      <c r="G284" s="130"/>
      <c r="H284" s="131">
        <f>G284/G289</f>
        <v>0</v>
      </c>
      <c r="I284" s="130">
        <f t="shared" si="54"/>
        <v>0</v>
      </c>
      <c r="J284" s="86">
        <f t="shared" si="55"/>
        <v>0</v>
      </c>
    </row>
    <row r="285" spans="3:10" x14ac:dyDescent="0.25">
      <c r="C285" s="192"/>
      <c r="D285" s="193"/>
      <c r="E285" s="193"/>
      <c r="F285" s="130"/>
      <c r="G285" s="130"/>
      <c r="H285" s="131">
        <f>G285/G289</f>
        <v>0</v>
      </c>
      <c r="I285" s="130">
        <f t="shared" si="54"/>
        <v>0</v>
      </c>
      <c r="J285" s="86">
        <f t="shared" si="55"/>
        <v>0</v>
      </c>
    </row>
    <row r="286" spans="3:10" x14ac:dyDescent="0.25">
      <c r="C286" s="192"/>
      <c r="D286" s="193"/>
      <c r="E286" s="193"/>
      <c r="F286" s="130"/>
      <c r="G286" s="130"/>
      <c r="H286" s="131">
        <f>G286/G289</f>
        <v>0</v>
      </c>
      <c r="I286" s="130">
        <f t="shared" si="54"/>
        <v>0</v>
      </c>
      <c r="J286" s="86">
        <f t="shared" si="55"/>
        <v>0</v>
      </c>
    </row>
    <row r="287" spans="3:10" ht="14.4" thickBot="1" x14ac:dyDescent="0.3">
      <c r="C287" s="194"/>
      <c r="D287" s="195"/>
      <c r="E287" s="195"/>
      <c r="F287" s="132"/>
      <c r="G287" s="132"/>
      <c r="H287" s="133">
        <f>G287/G289</f>
        <v>0</v>
      </c>
      <c r="I287" s="132">
        <f t="shared" si="54"/>
        <v>0</v>
      </c>
      <c r="J287" s="113">
        <f t="shared" si="55"/>
        <v>0</v>
      </c>
    </row>
    <row r="288" spans="3:10" ht="14.4" thickBot="1" x14ac:dyDescent="0.3">
      <c r="C288" s="196" t="s">
        <v>81</v>
      </c>
      <c r="D288" s="197"/>
      <c r="E288" s="197"/>
      <c r="F288" s="134"/>
      <c r="G288" s="134">
        <f>SUM(G274:G287)</f>
        <v>2518</v>
      </c>
      <c r="H288" s="135">
        <f>G288/G289</f>
        <v>0.43579093111803391</v>
      </c>
      <c r="I288" s="134">
        <f t="shared" si="54"/>
        <v>176.26000000000002</v>
      </c>
      <c r="J288" s="123">
        <f t="shared" si="55"/>
        <v>125.9</v>
      </c>
    </row>
    <row r="289" spans="1:10" ht="14.4" thickBot="1" x14ac:dyDescent="0.3">
      <c r="C289" s="196" t="s">
        <v>7</v>
      </c>
      <c r="D289" s="197"/>
      <c r="E289" s="197"/>
      <c r="F289" s="134"/>
      <c r="G289" s="134">
        <f>G272+G288</f>
        <v>5778</v>
      </c>
      <c r="H289" s="135">
        <f>G289/G289</f>
        <v>1</v>
      </c>
      <c r="I289" s="134">
        <f t="shared" si="54"/>
        <v>404.46000000000004</v>
      </c>
      <c r="J289" s="123">
        <f t="shared" si="55"/>
        <v>288.90000000000003</v>
      </c>
    </row>
    <row r="290" spans="1:10" ht="16.2" thickBot="1" x14ac:dyDescent="0.35">
      <c r="C290" s="6" t="str">
        <f>G65</f>
        <v>Floorinng, tiling</v>
      </c>
      <c r="E290" s="5"/>
      <c r="F290" s="5"/>
    </row>
    <row r="291" spans="1:10" ht="14.4" thickBot="1" x14ac:dyDescent="0.3">
      <c r="A291" s="63" t="s">
        <v>72</v>
      </c>
      <c r="C291" s="196" t="s">
        <v>0</v>
      </c>
      <c r="D291" s="197"/>
      <c r="E291" s="197"/>
      <c r="F291" s="125" t="s">
        <v>1</v>
      </c>
      <c r="G291" s="126" t="s">
        <v>73</v>
      </c>
      <c r="H291" s="126" t="s">
        <v>83</v>
      </c>
      <c r="I291" s="125" t="s">
        <v>3</v>
      </c>
      <c r="J291" s="127" t="s">
        <v>4</v>
      </c>
    </row>
    <row r="292" spans="1:10" x14ac:dyDescent="0.25">
      <c r="C292" s="198" t="s">
        <v>74</v>
      </c>
      <c r="D292" s="199"/>
      <c r="E292" s="199"/>
      <c r="F292" s="199"/>
      <c r="G292" s="199"/>
      <c r="H292" s="199"/>
      <c r="I292" s="199"/>
      <c r="J292" s="128"/>
    </row>
    <row r="293" spans="1:10" x14ac:dyDescent="0.25">
      <c r="C293" s="192"/>
      <c r="D293" s="193"/>
      <c r="E293" s="193"/>
      <c r="F293" s="129"/>
      <c r="G293" s="130">
        <v>2000</v>
      </c>
      <c r="H293" s="131">
        <f>G293/G314</f>
        <v>0.21791239921551536</v>
      </c>
      <c r="I293" s="130">
        <f>G293*7%</f>
        <v>140</v>
      </c>
      <c r="J293" s="86">
        <f>G293*5%</f>
        <v>100</v>
      </c>
    </row>
    <row r="294" spans="1:10" x14ac:dyDescent="0.25">
      <c r="C294" s="192"/>
      <c r="D294" s="193"/>
      <c r="E294" s="193"/>
      <c r="F294" s="129"/>
      <c r="G294" s="130">
        <v>1500</v>
      </c>
      <c r="H294" s="131">
        <f>G294/G314</f>
        <v>0.16343429941163654</v>
      </c>
      <c r="I294" s="130">
        <f t="shared" ref="I294:I297" si="56">G294*7%</f>
        <v>105.00000000000001</v>
      </c>
      <c r="J294" s="86">
        <f t="shared" ref="J294:J297" si="57">G294*5%</f>
        <v>75</v>
      </c>
    </row>
    <row r="295" spans="1:10" x14ac:dyDescent="0.25">
      <c r="C295" s="192"/>
      <c r="D295" s="193"/>
      <c r="E295" s="193"/>
      <c r="F295" s="130"/>
      <c r="G295" s="130"/>
      <c r="H295" s="131">
        <f>G295/G314</f>
        <v>0</v>
      </c>
      <c r="I295" s="130">
        <f t="shared" si="56"/>
        <v>0</v>
      </c>
      <c r="J295" s="86">
        <f t="shared" si="57"/>
        <v>0</v>
      </c>
    </row>
    <row r="296" spans="1:10" ht="14.4" thickBot="1" x14ac:dyDescent="0.3">
      <c r="C296" s="194"/>
      <c r="D296" s="195"/>
      <c r="E296" s="195"/>
      <c r="F296" s="132"/>
      <c r="G296" s="132"/>
      <c r="H296" s="133">
        <f>G296/G314</f>
        <v>0</v>
      </c>
      <c r="I296" s="132">
        <f t="shared" si="56"/>
        <v>0</v>
      </c>
      <c r="J296" s="113">
        <f t="shared" si="57"/>
        <v>0</v>
      </c>
    </row>
    <row r="297" spans="1:10" ht="14.4" thickBot="1" x14ac:dyDescent="0.3">
      <c r="C297" s="196" t="s">
        <v>82</v>
      </c>
      <c r="D297" s="197"/>
      <c r="E297" s="197"/>
      <c r="F297" s="134"/>
      <c r="G297" s="134">
        <f>SUM(G293:G296)</f>
        <v>3500</v>
      </c>
      <c r="H297" s="135">
        <f>G297/G314</f>
        <v>0.38134669862715187</v>
      </c>
      <c r="I297" s="134">
        <f t="shared" si="56"/>
        <v>245.00000000000003</v>
      </c>
      <c r="J297" s="123">
        <f t="shared" si="57"/>
        <v>175</v>
      </c>
    </row>
    <row r="298" spans="1:10" x14ac:dyDescent="0.25">
      <c r="C298" s="198" t="s">
        <v>75</v>
      </c>
      <c r="D298" s="199"/>
      <c r="E298" s="199"/>
      <c r="F298" s="199"/>
      <c r="G298" s="199"/>
      <c r="H298" s="199"/>
      <c r="I298" s="199"/>
      <c r="J298" s="128"/>
    </row>
    <row r="299" spans="1:10" x14ac:dyDescent="0.25">
      <c r="C299" s="192"/>
      <c r="D299" s="193"/>
      <c r="E299" s="193"/>
      <c r="F299" s="129"/>
      <c r="G299" s="130">
        <v>3500</v>
      </c>
      <c r="H299" s="131">
        <f>G299/G314</f>
        <v>0.38134669862715187</v>
      </c>
      <c r="I299" s="130">
        <f>G299*7%</f>
        <v>245.00000000000003</v>
      </c>
      <c r="J299" s="86">
        <f>G299*5%</f>
        <v>175</v>
      </c>
    </row>
    <row r="300" spans="1:10" x14ac:dyDescent="0.25">
      <c r="C300" s="192"/>
      <c r="D300" s="193"/>
      <c r="E300" s="193"/>
      <c r="F300" s="129"/>
      <c r="G300" s="130">
        <v>2000</v>
      </c>
      <c r="H300" s="131">
        <f>G300/G314</f>
        <v>0.21791239921551536</v>
      </c>
      <c r="I300" s="130">
        <f t="shared" ref="I300:I314" si="58">G300*7%</f>
        <v>140</v>
      </c>
      <c r="J300" s="86">
        <f t="shared" ref="J300:J314" si="59">G300*5%</f>
        <v>100</v>
      </c>
    </row>
    <row r="301" spans="1:10" x14ac:dyDescent="0.25">
      <c r="C301" s="192"/>
      <c r="D301" s="193"/>
      <c r="E301" s="193"/>
      <c r="F301" s="130"/>
      <c r="G301" s="130">
        <v>78</v>
      </c>
      <c r="H301" s="131">
        <f>G301/G314</f>
        <v>8.4985835694051E-3</v>
      </c>
      <c r="I301" s="130">
        <f t="shared" si="58"/>
        <v>5.4600000000000009</v>
      </c>
      <c r="J301" s="86">
        <f t="shared" si="59"/>
        <v>3.9000000000000004</v>
      </c>
    </row>
    <row r="302" spans="1:10" x14ac:dyDescent="0.25">
      <c r="C302" s="192"/>
      <c r="D302" s="193"/>
      <c r="E302" s="193"/>
      <c r="F302" s="130"/>
      <c r="G302" s="130">
        <v>100</v>
      </c>
      <c r="H302" s="131">
        <f>G302/G314</f>
        <v>1.0895619960775768E-2</v>
      </c>
      <c r="I302" s="130">
        <f t="shared" si="58"/>
        <v>7.0000000000000009</v>
      </c>
      <c r="J302" s="86">
        <f t="shared" si="59"/>
        <v>5</v>
      </c>
    </row>
    <row r="303" spans="1:10" x14ac:dyDescent="0.25">
      <c r="C303" s="192"/>
      <c r="D303" s="193"/>
      <c r="E303" s="193"/>
      <c r="F303" s="130"/>
      <c r="G303" s="130"/>
      <c r="H303" s="131">
        <f>G303/G314</f>
        <v>0</v>
      </c>
      <c r="I303" s="130">
        <f t="shared" si="58"/>
        <v>0</v>
      </c>
      <c r="J303" s="86">
        <f t="shared" si="59"/>
        <v>0</v>
      </c>
    </row>
    <row r="304" spans="1:10" x14ac:dyDescent="0.25">
      <c r="C304" s="192"/>
      <c r="D304" s="193"/>
      <c r="E304" s="193"/>
      <c r="F304" s="130"/>
      <c r="G304" s="130"/>
      <c r="H304" s="131">
        <f>G304/G314</f>
        <v>0</v>
      </c>
      <c r="I304" s="130">
        <f t="shared" si="58"/>
        <v>0</v>
      </c>
      <c r="J304" s="86">
        <f t="shared" si="59"/>
        <v>0</v>
      </c>
    </row>
    <row r="305" spans="1:10" x14ac:dyDescent="0.25">
      <c r="C305" s="192"/>
      <c r="D305" s="193"/>
      <c r="E305" s="193"/>
      <c r="F305" s="130"/>
      <c r="G305" s="130"/>
      <c r="H305" s="131">
        <f>G305/G314</f>
        <v>0</v>
      </c>
      <c r="I305" s="130">
        <f t="shared" si="58"/>
        <v>0</v>
      </c>
      <c r="J305" s="86">
        <f t="shared" si="59"/>
        <v>0</v>
      </c>
    </row>
    <row r="306" spans="1:10" x14ac:dyDescent="0.25">
      <c r="C306" s="192"/>
      <c r="D306" s="193"/>
      <c r="E306" s="193"/>
      <c r="F306" s="130"/>
      <c r="G306" s="130"/>
      <c r="H306" s="131">
        <f>G306/G314</f>
        <v>0</v>
      </c>
      <c r="I306" s="130">
        <f t="shared" si="58"/>
        <v>0</v>
      </c>
      <c r="J306" s="86">
        <f t="shared" si="59"/>
        <v>0</v>
      </c>
    </row>
    <row r="307" spans="1:10" x14ac:dyDescent="0.25">
      <c r="C307" s="192"/>
      <c r="D307" s="193"/>
      <c r="E307" s="193"/>
      <c r="F307" s="130"/>
      <c r="G307" s="130"/>
      <c r="H307" s="131">
        <f>G307/G314</f>
        <v>0</v>
      </c>
      <c r="I307" s="130">
        <f t="shared" si="58"/>
        <v>0</v>
      </c>
      <c r="J307" s="86">
        <f t="shared" si="59"/>
        <v>0</v>
      </c>
    </row>
    <row r="308" spans="1:10" x14ac:dyDescent="0.25">
      <c r="C308" s="192"/>
      <c r="D308" s="193"/>
      <c r="E308" s="193"/>
      <c r="F308" s="130"/>
      <c r="G308" s="130"/>
      <c r="H308" s="131">
        <f>G308/G314</f>
        <v>0</v>
      </c>
      <c r="I308" s="130">
        <f t="shared" si="58"/>
        <v>0</v>
      </c>
      <c r="J308" s="86">
        <f t="shared" si="59"/>
        <v>0</v>
      </c>
    </row>
    <row r="309" spans="1:10" x14ac:dyDescent="0.25">
      <c r="A309" s="63"/>
      <c r="C309" s="192"/>
      <c r="D309" s="193"/>
      <c r="E309" s="193"/>
      <c r="F309" s="130"/>
      <c r="G309" s="130"/>
      <c r="H309" s="131">
        <f>G309/G314</f>
        <v>0</v>
      </c>
      <c r="I309" s="130">
        <f t="shared" si="58"/>
        <v>0</v>
      </c>
      <c r="J309" s="86">
        <f t="shared" si="59"/>
        <v>0</v>
      </c>
    </row>
    <row r="310" spans="1:10" x14ac:dyDescent="0.25">
      <c r="C310" s="192"/>
      <c r="D310" s="193"/>
      <c r="E310" s="193"/>
      <c r="F310" s="130"/>
      <c r="G310" s="130"/>
      <c r="H310" s="131">
        <f>G310/G314</f>
        <v>0</v>
      </c>
      <c r="I310" s="130">
        <f t="shared" si="58"/>
        <v>0</v>
      </c>
      <c r="J310" s="86">
        <f t="shared" si="59"/>
        <v>0</v>
      </c>
    </row>
    <row r="311" spans="1:10" x14ac:dyDescent="0.25">
      <c r="C311" s="192"/>
      <c r="D311" s="193"/>
      <c r="E311" s="193"/>
      <c r="F311" s="130"/>
      <c r="G311" s="130"/>
      <c r="H311" s="131">
        <f>G311/G314</f>
        <v>0</v>
      </c>
      <c r="I311" s="130">
        <f t="shared" si="58"/>
        <v>0</v>
      </c>
      <c r="J311" s="86">
        <f t="shared" si="59"/>
        <v>0</v>
      </c>
    </row>
    <row r="312" spans="1:10" ht="14.4" thickBot="1" x14ac:dyDescent="0.3">
      <c r="C312" s="194"/>
      <c r="D312" s="195"/>
      <c r="E312" s="195"/>
      <c r="F312" s="132"/>
      <c r="G312" s="132"/>
      <c r="H312" s="133">
        <f>G312/G314</f>
        <v>0</v>
      </c>
      <c r="I312" s="132">
        <f t="shared" si="58"/>
        <v>0</v>
      </c>
      <c r="J312" s="113">
        <f t="shared" si="59"/>
        <v>0</v>
      </c>
    </row>
    <row r="313" spans="1:10" ht="14.4" thickBot="1" x14ac:dyDescent="0.3">
      <c r="C313" s="196" t="s">
        <v>81</v>
      </c>
      <c r="D313" s="197"/>
      <c r="E313" s="197"/>
      <c r="F313" s="134"/>
      <c r="G313" s="134">
        <f>SUM(G299:G312)</f>
        <v>5678</v>
      </c>
      <c r="H313" s="135">
        <f>G313/G314</f>
        <v>0.61865330137284813</v>
      </c>
      <c r="I313" s="134">
        <f t="shared" si="58"/>
        <v>397.46000000000004</v>
      </c>
      <c r="J313" s="123">
        <f t="shared" si="59"/>
        <v>283.90000000000003</v>
      </c>
    </row>
    <row r="314" spans="1:10" ht="14.4" thickBot="1" x14ac:dyDescent="0.3">
      <c r="C314" s="196" t="s">
        <v>7</v>
      </c>
      <c r="D314" s="197"/>
      <c r="E314" s="197"/>
      <c r="F314" s="134"/>
      <c r="G314" s="134">
        <f>G297+G313</f>
        <v>9178</v>
      </c>
      <c r="H314" s="139">
        <f>G314/G314</f>
        <v>1</v>
      </c>
      <c r="I314" s="134">
        <f t="shared" si="58"/>
        <v>642.46</v>
      </c>
      <c r="J314" s="123">
        <f t="shared" si="59"/>
        <v>458.90000000000003</v>
      </c>
    </row>
    <row r="315" spans="1:10" ht="16.2" thickBot="1" x14ac:dyDescent="0.35">
      <c r="C315" s="6" t="str">
        <f>G66</f>
        <v>HVAC</v>
      </c>
      <c r="E315" s="5"/>
      <c r="F315" s="5"/>
    </row>
    <row r="316" spans="1:10" ht="14.4" thickBot="1" x14ac:dyDescent="0.3">
      <c r="A316" s="63" t="s">
        <v>72</v>
      </c>
      <c r="C316" s="196" t="s">
        <v>0</v>
      </c>
      <c r="D316" s="197"/>
      <c r="E316" s="197"/>
      <c r="F316" s="125" t="s">
        <v>1</v>
      </c>
      <c r="G316" s="126" t="s">
        <v>73</v>
      </c>
      <c r="H316" s="126" t="s">
        <v>83</v>
      </c>
      <c r="I316" s="125" t="s">
        <v>3</v>
      </c>
      <c r="J316" s="127" t="s">
        <v>4</v>
      </c>
    </row>
    <row r="317" spans="1:10" x14ac:dyDescent="0.25">
      <c r="C317" s="198" t="s">
        <v>74</v>
      </c>
      <c r="D317" s="199"/>
      <c r="E317" s="199"/>
      <c r="F317" s="199"/>
      <c r="G317" s="199"/>
      <c r="H317" s="199"/>
      <c r="I317" s="199"/>
      <c r="J317" s="128"/>
    </row>
    <row r="318" spans="1:10" x14ac:dyDescent="0.25">
      <c r="C318" s="192"/>
      <c r="D318" s="193"/>
      <c r="E318" s="193"/>
      <c r="F318" s="129"/>
      <c r="G318" s="130">
        <v>2800</v>
      </c>
      <c r="H318" s="131">
        <f>G318/G339</f>
        <v>0.86153846153846159</v>
      </c>
      <c r="I318" s="130">
        <f>G318*7%</f>
        <v>196.00000000000003</v>
      </c>
      <c r="J318" s="86">
        <f>G318*5%</f>
        <v>140</v>
      </c>
    </row>
    <row r="319" spans="1:10" x14ac:dyDescent="0.25">
      <c r="C319" s="192"/>
      <c r="D319" s="193"/>
      <c r="E319" s="193"/>
      <c r="F319" s="129"/>
      <c r="G319" s="130">
        <v>100</v>
      </c>
      <c r="H319" s="131">
        <f>G319/G339</f>
        <v>3.0769230769230771E-2</v>
      </c>
      <c r="I319" s="130">
        <f t="shared" ref="I319:I322" si="60">G319*7%</f>
        <v>7.0000000000000009</v>
      </c>
      <c r="J319" s="86">
        <f t="shared" ref="J319:J322" si="61">G319*5%</f>
        <v>5</v>
      </c>
    </row>
    <row r="320" spans="1:10" x14ac:dyDescent="0.25">
      <c r="C320" s="192"/>
      <c r="D320" s="193"/>
      <c r="E320" s="193"/>
      <c r="F320" s="130"/>
      <c r="G320" s="130"/>
      <c r="H320" s="131">
        <f>G320/G339</f>
        <v>0</v>
      </c>
      <c r="I320" s="130">
        <f t="shared" si="60"/>
        <v>0</v>
      </c>
      <c r="J320" s="86">
        <f t="shared" si="61"/>
        <v>0</v>
      </c>
    </row>
    <row r="321" spans="3:10" ht="14.4" thickBot="1" x14ac:dyDescent="0.3">
      <c r="C321" s="194"/>
      <c r="D321" s="195"/>
      <c r="E321" s="195"/>
      <c r="F321" s="132"/>
      <c r="G321" s="132"/>
      <c r="H321" s="133">
        <f>G321/G339</f>
        <v>0</v>
      </c>
      <c r="I321" s="132">
        <f t="shared" si="60"/>
        <v>0</v>
      </c>
      <c r="J321" s="113">
        <f t="shared" si="61"/>
        <v>0</v>
      </c>
    </row>
    <row r="322" spans="3:10" ht="14.4" thickBot="1" x14ac:dyDescent="0.3">
      <c r="C322" s="196" t="s">
        <v>82</v>
      </c>
      <c r="D322" s="197"/>
      <c r="E322" s="197"/>
      <c r="F322" s="134"/>
      <c r="G322" s="134">
        <f>SUM(G318:G321)</f>
        <v>2900</v>
      </c>
      <c r="H322" s="135">
        <f>G322/G339</f>
        <v>0.89230769230769236</v>
      </c>
      <c r="I322" s="134">
        <f t="shared" si="60"/>
        <v>203.00000000000003</v>
      </c>
      <c r="J322" s="123">
        <f t="shared" si="61"/>
        <v>145</v>
      </c>
    </row>
    <row r="323" spans="3:10" x14ac:dyDescent="0.25">
      <c r="C323" s="198" t="s">
        <v>75</v>
      </c>
      <c r="D323" s="199"/>
      <c r="E323" s="199"/>
      <c r="F323" s="199"/>
      <c r="G323" s="199"/>
      <c r="H323" s="199"/>
      <c r="I323" s="199"/>
      <c r="J323" s="128"/>
    </row>
    <row r="324" spans="3:10" x14ac:dyDescent="0.25">
      <c r="C324" s="192"/>
      <c r="D324" s="193"/>
      <c r="E324" s="193"/>
      <c r="F324" s="129"/>
      <c r="G324" s="130">
        <v>300</v>
      </c>
      <c r="H324" s="131">
        <f>G324/G339</f>
        <v>9.2307692307692313E-2</v>
      </c>
      <c r="I324" s="130">
        <f>G324*7%</f>
        <v>21.000000000000004</v>
      </c>
      <c r="J324" s="86">
        <f>G324*5%</f>
        <v>15</v>
      </c>
    </row>
    <row r="325" spans="3:10" x14ac:dyDescent="0.25">
      <c r="C325" s="192"/>
      <c r="D325" s="193"/>
      <c r="E325" s="193"/>
      <c r="F325" s="129"/>
      <c r="G325" s="130">
        <v>50</v>
      </c>
      <c r="H325" s="131">
        <f>G325/G339</f>
        <v>1.5384615384615385E-2</v>
      </c>
      <c r="I325" s="130">
        <f t="shared" ref="I325:I339" si="62">G325*7%</f>
        <v>3.5000000000000004</v>
      </c>
      <c r="J325" s="86">
        <f t="shared" ref="J325:J339" si="63">G325*5%</f>
        <v>2.5</v>
      </c>
    </row>
    <row r="326" spans="3:10" x14ac:dyDescent="0.25">
      <c r="C326" s="192"/>
      <c r="D326" s="193"/>
      <c r="E326" s="193"/>
      <c r="F326" s="130"/>
      <c r="G326" s="130"/>
      <c r="H326" s="131">
        <f>G326/G339</f>
        <v>0</v>
      </c>
      <c r="I326" s="130">
        <f t="shared" si="62"/>
        <v>0</v>
      </c>
      <c r="J326" s="86">
        <f t="shared" si="63"/>
        <v>0</v>
      </c>
    </row>
    <row r="327" spans="3:10" x14ac:dyDescent="0.25">
      <c r="C327" s="192"/>
      <c r="D327" s="193"/>
      <c r="E327" s="193"/>
      <c r="F327" s="130"/>
      <c r="G327" s="130"/>
      <c r="H327" s="131">
        <f>G327/G339</f>
        <v>0</v>
      </c>
      <c r="I327" s="130">
        <f t="shared" si="62"/>
        <v>0</v>
      </c>
      <c r="J327" s="86">
        <f t="shared" si="63"/>
        <v>0</v>
      </c>
    </row>
    <row r="328" spans="3:10" x14ac:dyDescent="0.25">
      <c r="C328" s="192"/>
      <c r="D328" s="193"/>
      <c r="E328" s="193"/>
      <c r="F328" s="130"/>
      <c r="G328" s="130"/>
      <c r="H328" s="131">
        <f>G328/G339</f>
        <v>0</v>
      </c>
      <c r="I328" s="130">
        <f t="shared" si="62"/>
        <v>0</v>
      </c>
      <c r="J328" s="86">
        <f t="shared" si="63"/>
        <v>0</v>
      </c>
    </row>
    <row r="329" spans="3:10" x14ac:dyDescent="0.25">
      <c r="C329" s="192"/>
      <c r="D329" s="193"/>
      <c r="E329" s="193"/>
      <c r="F329" s="130"/>
      <c r="G329" s="130"/>
      <c r="H329" s="131">
        <f>G329/G339</f>
        <v>0</v>
      </c>
      <c r="I329" s="130">
        <f t="shared" si="62"/>
        <v>0</v>
      </c>
      <c r="J329" s="86">
        <f t="shared" si="63"/>
        <v>0</v>
      </c>
    </row>
    <row r="330" spans="3:10" x14ac:dyDescent="0.25">
      <c r="C330" s="192"/>
      <c r="D330" s="193"/>
      <c r="E330" s="193"/>
      <c r="F330" s="130"/>
      <c r="G330" s="130"/>
      <c r="H330" s="131">
        <f>G330/G339</f>
        <v>0</v>
      </c>
      <c r="I330" s="130">
        <f t="shared" si="62"/>
        <v>0</v>
      </c>
      <c r="J330" s="86">
        <f t="shared" si="63"/>
        <v>0</v>
      </c>
    </row>
    <row r="331" spans="3:10" x14ac:dyDescent="0.25">
      <c r="C331" s="192"/>
      <c r="D331" s="193"/>
      <c r="E331" s="193"/>
      <c r="F331" s="130"/>
      <c r="G331" s="130"/>
      <c r="H331" s="131">
        <f>G331/G339</f>
        <v>0</v>
      </c>
      <c r="I331" s="130">
        <f t="shared" si="62"/>
        <v>0</v>
      </c>
      <c r="J331" s="86">
        <f t="shared" si="63"/>
        <v>0</v>
      </c>
    </row>
    <row r="332" spans="3:10" x14ac:dyDescent="0.25">
      <c r="C332" s="192"/>
      <c r="D332" s="193"/>
      <c r="E332" s="193"/>
      <c r="F332" s="130"/>
      <c r="G332" s="130"/>
      <c r="H332" s="131">
        <f>G332/G339</f>
        <v>0</v>
      </c>
      <c r="I332" s="130">
        <f t="shared" si="62"/>
        <v>0</v>
      </c>
      <c r="J332" s="86">
        <f t="shared" si="63"/>
        <v>0</v>
      </c>
    </row>
    <row r="333" spans="3:10" x14ac:dyDescent="0.25">
      <c r="C333" s="192"/>
      <c r="D333" s="193"/>
      <c r="E333" s="193"/>
      <c r="F333" s="130"/>
      <c r="G333" s="130"/>
      <c r="H333" s="131">
        <f>G333/G339</f>
        <v>0</v>
      </c>
      <c r="I333" s="130">
        <f t="shared" si="62"/>
        <v>0</v>
      </c>
      <c r="J333" s="86">
        <f t="shared" si="63"/>
        <v>0</v>
      </c>
    </row>
    <row r="334" spans="3:10" x14ac:dyDescent="0.25">
      <c r="C334" s="192"/>
      <c r="D334" s="193"/>
      <c r="E334" s="193"/>
      <c r="F334" s="130"/>
      <c r="G334" s="130"/>
      <c r="H334" s="131">
        <f>G334/G339</f>
        <v>0</v>
      </c>
      <c r="I334" s="130">
        <f t="shared" si="62"/>
        <v>0</v>
      </c>
      <c r="J334" s="86">
        <f t="shared" si="63"/>
        <v>0</v>
      </c>
    </row>
    <row r="335" spans="3:10" x14ac:dyDescent="0.25">
      <c r="C335" s="192"/>
      <c r="D335" s="193"/>
      <c r="E335" s="193"/>
      <c r="F335" s="130"/>
      <c r="G335" s="130"/>
      <c r="H335" s="131">
        <f>G335/G339</f>
        <v>0</v>
      </c>
      <c r="I335" s="130">
        <f t="shared" si="62"/>
        <v>0</v>
      </c>
      <c r="J335" s="86">
        <f t="shared" si="63"/>
        <v>0</v>
      </c>
    </row>
    <row r="336" spans="3:10" x14ac:dyDescent="0.25">
      <c r="C336" s="192"/>
      <c r="D336" s="193"/>
      <c r="E336" s="193"/>
      <c r="F336" s="130"/>
      <c r="G336" s="130"/>
      <c r="H336" s="131">
        <f>G336/G339</f>
        <v>0</v>
      </c>
      <c r="I336" s="130">
        <f t="shared" si="62"/>
        <v>0</v>
      </c>
      <c r="J336" s="86">
        <f t="shared" si="63"/>
        <v>0</v>
      </c>
    </row>
    <row r="337" spans="1:10" ht="14.4" thickBot="1" x14ac:dyDescent="0.3">
      <c r="C337" s="194"/>
      <c r="D337" s="195"/>
      <c r="E337" s="195"/>
      <c r="F337" s="132"/>
      <c r="G337" s="132"/>
      <c r="H337" s="133">
        <f>G337/G339</f>
        <v>0</v>
      </c>
      <c r="I337" s="132">
        <f t="shared" si="62"/>
        <v>0</v>
      </c>
      <c r="J337" s="113">
        <f t="shared" si="63"/>
        <v>0</v>
      </c>
    </row>
    <row r="338" spans="1:10" ht="14.4" thickBot="1" x14ac:dyDescent="0.3">
      <c r="C338" s="196" t="s">
        <v>81</v>
      </c>
      <c r="D338" s="197"/>
      <c r="E338" s="197"/>
      <c r="F338" s="134"/>
      <c r="G338" s="134">
        <f>SUM(G324:G337)</f>
        <v>350</v>
      </c>
      <c r="H338" s="135">
        <f>G338/G339</f>
        <v>0.1076923076923077</v>
      </c>
      <c r="I338" s="134">
        <f t="shared" si="62"/>
        <v>24.500000000000004</v>
      </c>
      <c r="J338" s="123">
        <f t="shared" si="63"/>
        <v>17.5</v>
      </c>
    </row>
    <row r="339" spans="1:10" ht="14.4" thickBot="1" x14ac:dyDescent="0.3">
      <c r="C339" s="196" t="s">
        <v>7</v>
      </c>
      <c r="D339" s="197"/>
      <c r="E339" s="197"/>
      <c r="F339" s="134"/>
      <c r="G339" s="134">
        <f>G322+G338</f>
        <v>3250</v>
      </c>
      <c r="H339" s="135">
        <f>G339/G339</f>
        <v>1</v>
      </c>
      <c r="I339" s="134">
        <f t="shared" si="62"/>
        <v>227.50000000000003</v>
      </c>
      <c r="J339" s="123">
        <f t="shared" si="63"/>
        <v>162.5</v>
      </c>
    </row>
    <row r="340" spans="1:10" ht="16.2" thickBot="1" x14ac:dyDescent="0.35">
      <c r="C340" s="6" t="str">
        <f>G67</f>
        <v>Electriccal</v>
      </c>
      <c r="E340" s="5"/>
      <c r="F340" s="5"/>
    </row>
    <row r="341" spans="1:10" ht="14.4" thickBot="1" x14ac:dyDescent="0.3">
      <c r="A341" s="63" t="s">
        <v>72</v>
      </c>
      <c r="C341" s="196" t="s">
        <v>0</v>
      </c>
      <c r="D341" s="197"/>
      <c r="E341" s="197"/>
      <c r="F341" s="125" t="s">
        <v>1</v>
      </c>
      <c r="G341" s="126" t="s">
        <v>73</v>
      </c>
      <c r="H341" s="126" t="s">
        <v>83</v>
      </c>
      <c r="I341" s="125" t="s">
        <v>3</v>
      </c>
      <c r="J341" s="127" t="s">
        <v>4</v>
      </c>
    </row>
    <row r="342" spans="1:10" x14ac:dyDescent="0.25">
      <c r="C342" s="198" t="s">
        <v>74</v>
      </c>
      <c r="D342" s="199"/>
      <c r="E342" s="199"/>
      <c r="F342" s="199"/>
      <c r="G342" s="199"/>
      <c r="H342" s="199"/>
      <c r="I342" s="199"/>
      <c r="J342" s="128"/>
    </row>
    <row r="343" spans="1:10" x14ac:dyDescent="0.25">
      <c r="C343" s="192"/>
      <c r="D343" s="193"/>
      <c r="E343" s="193"/>
      <c r="F343" s="129"/>
      <c r="G343" s="130">
        <v>2000</v>
      </c>
      <c r="H343" s="131">
        <f>G343/G364</f>
        <v>0.63051702395964693</v>
      </c>
      <c r="I343" s="130">
        <f>G343*7%</f>
        <v>140</v>
      </c>
      <c r="J343" s="86">
        <f>G343*5%</f>
        <v>100</v>
      </c>
    </row>
    <row r="344" spans="1:10" x14ac:dyDescent="0.25">
      <c r="C344" s="192"/>
      <c r="D344" s="193"/>
      <c r="E344" s="193"/>
      <c r="F344" s="129"/>
      <c r="G344" s="130">
        <v>560</v>
      </c>
      <c r="H344" s="131">
        <f>G344/G364</f>
        <v>0.17654476670870115</v>
      </c>
      <c r="I344" s="130">
        <f t="shared" ref="I344:I347" si="64">G344*7%</f>
        <v>39.200000000000003</v>
      </c>
      <c r="J344" s="86">
        <f t="shared" ref="J344:J347" si="65">G344*5%</f>
        <v>28</v>
      </c>
    </row>
    <row r="345" spans="1:10" x14ac:dyDescent="0.25">
      <c r="C345" s="192"/>
      <c r="D345" s="193"/>
      <c r="E345" s="193"/>
      <c r="F345" s="130"/>
      <c r="G345" s="130"/>
      <c r="H345" s="131">
        <f>G345/G364</f>
        <v>0</v>
      </c>
      <c r="I345" s="130">
        <f t="shared" si="64"/>
        <v>0</v>
      </c>
      <c r="J345" s="86">
        <f t="shared" si="65"/>
        <v>0</v>
      </c>
    </row>
    <row r="346" spans="1:10" ht="14.4" thickBot="1" x14ac:dyDescent="0.3">
      <c r="C346" s="194"/>
      <c r="D346" s="195"/>
      <c r="E346" s="195"/>
      <c r="F346" s="132"/>
      <c r="G346" s="132"/>
      <c r="H346" s="133">
        <f>G346/G364</f>
        <v>0</v>
      </c>
      <c r="I346" s="132">
        <f t="shared" si="64"/>
        <v>0</v>
      </c>
      <c r="J346" s="113">
        <f t="shared" si="65"/>
        <v>0</v>
      </c>
    </row>
    <row r="347" spans="1:10" ht="14.4" thickBot="1" x14ac:dyDescent="0.3">
      <c r="C347" s="196" t="s">
        <v>82</v>
      </c>
      <c r="D347" s="197"/>
      <c r="E347" s="197"/>
      <c r="F347" s="134"/>
      <c r="G347" s="134">
        <f>SUM(G343:G346)</f>
        <v>2560</v>
      </c>
      <c r="H347" s="135">
        <f>G347/G364</f>
        <v>0.80706179066834804</v>
      </c>
      <c r="I347" s="134">
        <f t="shared" si="64"/>
        <v>179.20000000000002</v>
      </c>
      <c r="J347" s="123">
        <f t="shared" si="65"/>
        <v>128</v>
      </c>
    </row>
    <row r="348" spans="1:10" x14ac:dyDescent="0.25">
      <c r="C348" s="198" t="s">
        <v>75</v>
      </c>
      <c r="D348" s="199"/>
      <c r="E348" s="199"/>
      <c r="F348" s="199"/>
      <c r="G348" s="199"/>
      <c r="H348" s="199"/>
      <c r="I348" s="199"/>
      <c r="J348" s="128"/>
    </row>
    <row r="349" spans="1:10" x14ac:dyDescent="0.25">
      <c r="C349" s="192"/>
      <c r="D349" s="193"/>
      <c r="E349" s="193"/>
      <c r="F349" s="129"/>
      <c r="G349" s="130">
        <v>500</v>
      </c>
      <c r="H349" s="131">
        <f>G349/G364</f>
        <v>0.15762925598991173</v>
      </c>
      <c r="I349" s="130">
        <f>G349*7%</f>
        <v>35</v>
      </c>
      <c r="J349" s="86">
        <f>G349*5%</f>
        <v>25</v>
      </c>
    </row>
    <row r="350" spans="1:10" x14ac:dyDescent="0.25">
      <c r="C350" s="192"/>
      <c r="D350" s="193"/>
      <c r="E350" s="193"/>
      <c r="F350" s="129"/>
      <c r="G350" s="130">
        <v>34</v>
      </c>
      <c r="H350" s="131">
        <f>G350/G364</f>
        <v>1.0718789407313998E-2</v>
      </c>
      <c r="I350" s="130">
        <f t="shared" ref="I350:I364" si="66">G350*7%</f>
        <v>2.3800000000000003</v>
      </c>
      <c r="J350" s="86">
        <f t="shared" ref="J350:J364" si="67">G350*5%</f>
        <v>1.7000000000000002</v>
      </c>
    </row>
    <row r="351" spans="1:10" x14ac:dyDescent="0.25">
      <c r="C351" s="192"/>
      <c r="D351" s="193"/>
      <c r="E351" s="193"/>
      <c r="F351" s="130"/>
      <c r="G351" s="130">
        <v>78</v>
      </c>
      <c r="H351" s="131">
        <f>G351/G364</f>
        <v>2.4590163934426229E-2</v>
      </c>
      <c r="I351" s="130">
        <f t="shared" si="66"/>
        <v>5.4600000000000009</v>
      </c>
      <c r="J351" s="86">
        <f t="shared" si="67"/>
        <v>3.9000000000000004</v>
      </c>
    </row>
    <row r="352" spans="1:10" x14ac:dyDescent="0.25">
      <c r="C352" s="192"/>
      <c r="D352" s="193"/>
      <c r="E352" s="193"/>
      <c r="F352" s="130"/>
      <c r="G352" s="130"/>
      <c r="H352" s="131">
        <f>G352/G364</f>
        <v>0</v>
      </c>
      <c r="I352" s="130">
        <f t="shared" si="66"/>
        <v>0</v>
      </c>
      <c r="J352" s="86">
        <f t="shared" si="67"/>
        <v>0</v>
      </c>
    </row>
    <row r="353" spans="1:10" x14ac:dyDescent="0.25">
      <c r="C353" s="192"/>
      <c r="D353" s="193"/>
      <c r="E353" s="193"/>
      <c r="F353" s="130"/>
      <c r="G353" s="130"/>
      <c r="H353" s="131">
        <f>G353/G364</f>
        <v>0</v>
      </c>
      <c r="I353" s="130">
        <f t="shared" si="66"/>
        <v>0</v>
      </c>
      <c r="J353" s="86">
        <f t="shared" si="67"/>
        <v>0</v>
      </c>
    </row>
    <row r="354" spans="1:10" x14ac:dyDescent="0.25">
      <c r="C354" s="192"/>
      <c r="D354" s="193"/>
      <c r="E354" s="193"/>
      <c r="F354" s="130"/>
      <c r="G354" s="130"/>
      <c r="H354" s="131">
        <f>G354/G364</f>
        <v>0</v>
      </c>
      <c r="I354" s="130">
        <f t="shared" si="66"/>
        <v>0</v>
      </c>
      <c r="J354" s="86">
        <f t="shared" si="67"/>
        <v>0</v>
      </c>
    </row>
    <row r="355" spans="1:10" x14ac:dyDescent="0.25">
      <c r="C355" s="192"/>
      <c r="D355" s="193"/>
      <c r="E355" s="193"/>
      <c r="F355" s="130"/>
      <c r="G355" s="130"/>
      <c r="H355" s="131">
        <f>G355/G364</f>
        <v>0</v>
      </c>
      <c r="I355" s="130">
        <f t="shared" si="66"/>
        <v>0</v>
      </c>
      <c r="J355" s="86">
        <f t="shared" si="67"/>
        <v>0</v>
      </c>
    </row>
    <row r="356" spans="1:10" x14ac:dyDescent="0.25">
      <c r="C356" s="192"/>
      <c r="D356" s="193"/>
      <c r="E356" s="193"/>
      <c r="F356" s="130"/>
      <c r="G356" s="130"/>
      <c r="H356" s="131">
        <f>G356/G364</f>
        <v>0</v>
      </c>
      <c r="I356" s="130">
        <f t="shared" si="66"/>
        <v>0</v>
      </c>
      <c r="J356" s="86">
        <f t="shared" si="67"/>
        <v>0</v>
      </c>
    </row>
    <row r="357" spans="1:10" x14ac:dyDescent="0.25">
      <c r="C357" s="192"/>
      <c r="D357" s="193"/>
      <c r="E357" s="193"/>
      <c r="F357" s="130"/>
      <c r="G357" s="130"/>
      <c r="H357" s="131">
        <f>G357/G364</f>
        <v>0</v>
      </c>
      <c r="I357" s="130">
        <f t="shared" si="66"/>
        <v>0</v>
      </c>
      <c r="J357" s="86">
        <f t="shared" si="67"/>
        <v>0</v>
      </c>
    </row>
    <row r="358" spans="1:10" x14ac:dyDescent="0.25">
      <c r="C358" s="192"/>
      <c r="D358" s="193"/>
      <c r="E358" s="193"/>
      <c r="F358" s="130"/>
      <c r="G358" s="130"/>
      <c r="H358" s="131">
        <f>G358/G364</f>
        <v>0</v>
      </c>
      <c r="I358" s="130">
        <f t="shared" si="66"/>
        <v>0</v>
      </c>
      <c r="J358" s="86">
        <f t="shared" si="67"/>
        <v>0</v>
      </c>
    </row>
    <row r="359" spans="1:10" x14ac:dyDescent="0.25">
      <c r="C359" s="192"/>
      <c r="D359" s="193"/>
      <c r="E359" s="193"/>
      <c r="F359" s="130"/>
      <c r="G359" s="130"/>
      <c r="H359" s="131">
        <f>G359/G364</f>
        <v>0</v>
      </c>
      <c r="I359" s="130">
        <f t="shared" si="66"/>
        <v>0</v>
      </c>
      <c r="J359" s="86">
        <f t="shared" si="67"/>
        <v>0</v>
      </c>
    </row>
    <row r="360" spans="1:10" x14ac:dyDescent="0.25">
      <c r="C360" s="192"/>
      <c r="D360" s="193"/>
      <c r="E360" s="193"/>
      <c r="F360" s="130"/>
      <c r="G360" s="130"/>
      <c r="H360" s="131">
        <f>G360/G364</f>
        <v>0</v>
      </c>
      <c r="I360" s="130">
        <f t="shared" si="66"/>
        <v>0</v>
      </c>
      <c r="J360" s="86">
        <f t="shared" si="67"/>
        <v>0</v>
      </c>
    </row>
    <row r="361" spans="1:10" x14ac:dyDescent="0.25">
      <c r="C361" s="192"/>
      <c r="D361" s="193"/>
      <c r="E361" s="193"/>
      <c r="F361" s="130"/>
      <c r="G361" s="130"/>
      <c r="H361" s="131">
        <f>G361/G364</f>
        <v>0</v>
      </c>
      <c r="I361" s="130">
        <f t="shared" si="66"/>
        <v>0</v>
      </c>
      <c r="J361" s="86">
        <f t="shared" si="67"/>
        <v>0</v>
      </c>
    </row>
    <row r="362" spans="1:10" ht="14.4" thickBot="1" x14ac:dyDescent="0.3">
      <c r="C362" s="194"/>
      <c r="D362" s="195"/>
      <c r="E362" s="195"/>
      <c r="F362" s="132"/>
      <c r="G362" s="132"/>
      <c r="H362" s="133">
        <f>G362/G364</f>
        <v>0</v>
      </c>
      <c r="I362" s="132">
        <f t="shared" si="66"/>
        <v>0</v>
      </c>
      <c r="J362" s="113">
        <f t="shared" si="67"/>
        <v>0</v>
      </c>
    </row>
    <row r="363" spans="1:10" ht="14.4" thickBot="1" x14ac:dyDescent="0.3">
      <c r="C363" s="196" t="s">
        <v>81</v>
      </c>
      <c r="D363" s="197"/>
      <c r="E363" s="197"/>
      <c r="F363" s="134"/>
      <c r="G363" s="134">
        <f>SUM(G349:G362)</f>
        <v>612</v>
      </c>
      <c r="H363" s="135">
        <f>G363/G364</f>
        <v>0.19293820933165196</v>
      </c>
      <c r="I363" s="134">
        <f t="shared" si="66"/>
        <v>42.84</v>
      </c>
      <c r="J363" s="123">
        <f t="shared" si="67"/>
        <v>30.6</v>
      </c>
    </row>
    <row r="364" spans="1:10" ht="14.4" thickBot="1" x14ac:dyDescent="0.3">
      <c r="C364" s="196" t="s">
        <v>7</v>
      </c>
      <c r="D364" s="197"/>
      <c r="E364" s="197"/>
      <c r="F364" s="134"/>
      <c r="G364" s="134">
        <f>G347+G363</f>
        <v>3172</v>
      </c>
      <c r="H364" s="135">
        <f>G364/G364</f>
        <v>1</v>
      </c>
      <c r="I364" s="134">
        <f t="shared" si="66"/>
        <v>222.04000000000002</v>
      </c>
      <c r="J364" s="123">
        <f t="shared" si="67"/>
        <v>158.60000000000002</v>
      </c>
    </row>
    <row r="365" spans="1:10" ht="16.2" thickBot="1" x14ac:dyDescent="0.35">
      <c r="C365" s="6" t="str">
        <f>G68</f>
        <v>Plumbing</v>
      </c>
      <c r="E365" s="5"/>
      <c r="F365" s="5"/>
    </row>
    <row r="366" spans="1:10" ht="14.4" thickBot="1" x14ac:dyDescent="0.3">
      <c r="A366" s="63" t="s">
        <v>72</v>
      </c>
      <c r="C366" s="196" t="s">
        <v>0</v>
      </c>
      <c r="D366" s="197"/>
      <c r="E366" s="197"/>
      <c r="F366" s="125" t="s">
        <v>1</v>
      </c>
      <c r="G366" s="126" t="s">
        <v>73</v>
      </c>
      <c r="H366" s="126" t="s">
        <v>83</v>
      </c>
      <c r="I366" s="125" t="s">
        <v>3</v>
      </c>
      <c r="J366" s="127" t="s">
        <v>4</v>
      </c>
    </row>
    <row r="367" spans="1:10" x14ac:dyDescent="0.25">
      <c r="C367" s="198" t="s">
        <v>74</v>
      </c>
      <c r="D367" s="199"/>
      <c r="E367" s="199"/>
      <c r="F367" s="199"/>
      <c r="G367" s="199"/>
      <c r="H367" s="199"/>
      <c r="I367" s="199"/>
      <c r="J367" s="128"/>
    </row>
    <row r="368" spans="1:10" x14ac:dyDescent="0.25">
      <c r="C368" s="192"/>
      <c r="D368" s="193"/>
      <c r="E368" s="193"/>
      <c r="F368" s="129"/>
      <c r="G368" s="130">
        <v>1780</v>
      </c>
      <c r="H368" s="131">
        <f>G368/G389</f>
        <v>0.58018252933507175</v>
      </c>
      <c r="I368" s="130">
        <f>G368*7%</f>
        <v>124.60000000000001</v>
      </c>
      <c r="J368" s="86">
        <f>G368*5%</f>
        <v>89</v>
      </c>
    </row>
    <row r="369" spans="3:10" x14ac:dyDescent="0.25">
      <c r="C369" s="192"/>
      <c r="D369" s="193"/>
      <c r="E369" s="193"/>
      <c r="F369" s="129"/>
      <c r="G369" s="130">
        <v>900</v>
      </c>
      <c r="H369" s="131">
        <f>G369/G389</f>
        <v>0.29335071707953064</v>
      </c>
      <c r="I369" s="130">
        <f t="shared" ref="I369:I372" si="68">G369*7%</f>
        <v>63.000000000000007</v>
      </c>
      <c r="J369" s="86">
        <f t="shared" ref="J369:J372" si="69">G369*5%</f>
        <v>45</v>
      </c>
    </row>
    <row r="370" spans="3:10" x14ac:dyDescent="0.25">
      <c r="C370" s="192"/>
      <c r="D370" s="193"/>
      <c r="E370" s="193"/>
      <c r="F370" s="130"/>
      <c r="G370" s="130"/>
      <c r="H370" s="131">
        <f>G370/G389</f>
        <v>0</v>
      </c>
      <c r="I370" s="130">
        <f t="shared" si="68"/>
        <v>0</v>
      </c>
      <c r="J370" s="86">
        <f t="shared" si="69"/>
        <v>0</v>
      </c>
    </row>
    <row r="371" spans="3:10" ht="14.4" thickBot="1" x14ac:dyDescent="0.3">
      <c r="C371" s="194"/>
      <c r="D371" s="195"/>
      <c r="E371" s="195"/>
      <c r="F371" s="132"/>
      <c r="G371" s="132"/>
      <c r="H371" s="133">
        <f>G371/G389</f>
        <v>0</v>
      </c>
      <c r="I371" s="132">
        <f t="shared" si="68"/>
        <v>0</v>
      </c>
      <c r="J371" s="113">
        <f t="shared" si="69"/>
        <v>0</v>
      </c>
    </row>
    <row r="372" spans="3:10" ht="14.4" thickBot="1" x14ac:dyDescent="0.3">
      <c r="C372" s="196" t="s">
        <v>82</v>
      </c>
      <c r="D372" s="197"/>
      <c r="E372" s="197"/>
      <c r="F372" s="134"/>
      <c r="G372" s="134">
        <f>SUM(G368:G371)</f>
        <v>2680</v>
      </c>
      <c r="H372" s="135">
        <f>G372/G389</f>
        <v>0.87353324641460239</v>
      </c>
      <c r="I372" s="134">
        <f t="shared" si="68"/>
        <v>187.60000000000002</v>
      </c>
      <c r="J372" s="123">
        <f t="shared" si="69"/>
        <v>134</v>
      </c>
    </row>
    <row r="373" spans="3:10" x14ac:dyDescent="0.25">
      <c r="C373" s="198" t="s">
        <v>75</v>
      </c>
      <c r="D373" s="199"/>
      <c r="E373" s="199"/>
      <c r="F373" s="199"/>
      <c r="G373" s="199"/>
      <c r="H373" s="199"/>
      <c r="I373" s="199"/>
      <c r="J373" s="128"/>
    </row>
    <row r="374" spans="3:10" x14ac:dyDescent="0.25">
      <c r="C374" s="192"/>
      <c r="D374" s="193"/>
      <c r="E374" s="193"/>
      <c r="F374" s="129"/>
      <c r="G374" s="130">
        <v>300</v>
      </c>
      <c r="H374" s="131">
        <f>G374/G389</f>
        <v>9.7783572359843543E-2</v>
      </c>
      <c r="I374" s="130">
        <f>G374*7%</f>
        <v>21.000000000000004</v>
      </c>
      <c r="J374" s="86">
        <f>G374*5%</f>
        <v>15</v>
      </c>
    </row>
    <row r="375" spans="3:10" x14ac:dyDescent="0.25">
      <c r="C375" s="192"/>
      <c r="D375" s="193"/>
      <c r="E375" s="193"/>
      <c r="F375" s="129"/>
      <c r="G375" s="130">
        <v>67</v>
      </c>
      <c r="H375" s="131">
        <f>G375/G389</f>
        <v>2.1838331160365057E-2</v>
      </c>
      <c r="I375" s="130">
        <f t="shared" ref="I375:I389" si="70">G375*7%</f>
        <v>4.6900000000000004</v>
      </c>
      <c r="J375" s="86">
        <f t="shared" ref="J375:J389" si="71">G375*5%</f>
        <v>3.35</v>
      </c>
    </row>
    <row r="376" spans="3:10" x14ac:dyDescent="0.25">
      <c r="C376" s="192"/>
      <c r="D376" s="193"/>
      <c r="E376" s="193"/>
      <c r="F376" s="130"/>
      <c r="G376" s="130">
        <v>21</v>
      </c>
      <c r="H376" s="131">
        <f>G376/G389</f>
        <v>6.8448500651890481E-3</v>
      </c>
      <c r="I376" s="130">
        <f t="shared" si="70"/>
        <v>1.4700000000000002</v>
      </c>
      <c r="J376" s="86">
        <f t="shared" si="71"/>
        <v>1.05</v>
      </c>
    </row>
    <row r="377" spans="3:10" x14ac:dyDescent="0.25">
      <c r="C377" s="192"/>
      <c r="D377" s="193"/>
      <c r="E377" s="193"/>
      <c r="F377" s="130"/>
      <c r="G377" s="130"/>
      <c r="H377" s="131">
        <f>G377/G389</f>
        <v>0</v>
      </c>
      <c r="I377" s="130">
        <f t="shared" si="70"/>
        <v>0</v>
      </c>
      <c r="J377" s="86">
        <f t="shared" si="71"/>
        <v>0</v>
      </c>
    </row>
    <row r="378" spans="3:10" x14ac:dyDescent="0.25">
      <c r="C378" s="192"/>
      <c r="D378" s="193"/>
      <c r="E378" s="193"/>
      <c r="F378" s="130"/>
      <c r="G378" s="130"/>
      <c r="H378" s="131">
        <f>G378/G389</f>
        <v>0</v>
      </c>
      <c r="I378" s="130">
        <f t="shared" si="70"/>
        <v>0</v>
      </c>
      <c r="J378" s="86">
        <f t="shared" si="71"/>
        <v>0</v>
      </c>
    </row>
    <row r="379" spans="3:10" x14ac:dyDescent="0.25">
      <c r="C379" s="192"/>
      <c r="D379" s="193"/>
      <c r="E379" s="193"/>
      <c r="F379" s="130"/>
      <c r="G379" s="130"/>
      <c r="H379" s="131">
        <f>G379/G389</f>
        <v>0</v>
      </c>
      <c r="I379" s="130">
        <f t="shared" si="70"/>
        <v>0</v>
      </c>
      <c r="J379" s="86">
        <f t="shared" si="71"/>
        <v>0</v>
      </c>
    </row>
    <row r="380" spans="3:10" x14ac:dyDescent="0.25">
      <c r="C380" s="192"/>
      <c r="D380" s="193"/>
      <c r="E380" s="193"/>
      <c r="F380" s="130"/>
      <c r="G380" s="130"/>
      <c r="H380" s="131">
        <f>G380/G389</f>
        <v>0</v>
      </c>
      <c r="I380" s="130">
        <f t="shared" si="70"/>
        <v>0</v>
      </c>
      <c r="J380" s="86">
        <f t="shared" si="71"/>
        <v>0</v>
      </c>
    </row>
    <row r="381" spans="3:10" x14ac:dyDescent="0.25">
      <c r="C381" s="192"/>
      <c r="D381" s="193"/>
      <c r="E381" s="193"/>
      <c r="F381" s="130"/>
      <c r="G381" s="130"/>
      <c r="H381" s="131">
        <f>G381/G389</f>
        <v>0</v>
      </c>
      <c r="I381" s="130">
        <f t="shared" si="70"/>
        <v>0</v>
      </c>
      <c r="J381" s="86">
        <f t="shared" si="71"/>
        <v>0</v>
      </c>
    </row>
    <row r="382" spans="3:10" x14ac:dyDescent="0.25">
      <c r="C382" s="192"/>
      <c r="D382" s="193"/>
      <c r="E382" s="193"/>
      <c r="F382" s="130"/>
      <c r="G382" s="130"/>
      <c r="H382" s="131">
        <f>G382/G389</f>
        <v>0</v>
      </c>
      <c r="I382" s="130">
        <f t="shared" si="70"/>
        <v>0</v>
      </c>
      <c r="J382" s="86">
        <f t="shared" si="71"/>
        <v>0</v>
      </c>
    </row>
    <row r="383" spans="3:10" x14ac:dyDescent="0.25">
      <c r="C383" s="192"/>
      <c r="D383" s="193"/>
      <c r="E383" s="193"/>
      <c r="F383" s="130"/>
      <c r="G383" s="130"/>
      <c r="H383" s="131">
        <f>G383/G389</f>
        <v>0</v>
      </c>
      <c r="I383" s="130">
        <f t="shared" si="70"/>
        <v>0</v>
      </c>
      <c r="J383" s="86">
        <f t="shared" si="71"/>
        <v>0</v>
      </c>
    </row>
    <row r="384" spans="3:10" x14ac:dyDescent="0.25">
      <c r="C384" s="192"/>
      <c r="D384" s="193"/>
      <c r="E384" s="193"/>
      <c r="F384" s="130"/>
      <c r="G384" s="130"/>
      <c r="H384" s="131">
        <f>G384/G389</f>
        <v>0</v>
      </c>
      <c r="I384" s="130">
        <f t="shared" si="70"/>
        <v>0</v>
      </c>
      <c r="J384" s="86">
        <f t="shared" si="71"/>
        <v>0</v>
      </c>
    </row>
    <row r="385" spans="1:10" x14ac:dyDescent="0.25">
      <c r="C385" s="192"/>
      <c r="D385" s="193"/>
      <c r="E385" s="193"/>
      <c r="F385" s="130"/>
      <c r="G385" s="130"/>
      <c r="H385" s="131">
        <f>G385/G389</f>
        <v>0</v>
      </c>
      <c r="I385" s="130">
        <f t="shared" si="70"/>
        <v>0</v>
      </c>
      <c r="J385" s="86">
        <f t="shared" si="71"/>
        <v>0</v>
      </c>
    </row>
    <row r="386" spans="1:10" x14ac:dyDescent="0.25">
      <c r="C386" s="192"/>
      <c r="D386" s="193"/>
      <c r="E386" s="193"/>
      <c r="F386" s="130"/>
      <c r="G386" s="130"/>
      <c r="H386" s="131">
        <f>G386/G389</f>
        <v>0</v>
      </c>
      <c r="I386" s="130">
        <f t="shared" si="70"/>
        <v>0</v>
      </c>
      <c r="J386" s="86">
        <f t="shared" si="71"/>
        <v>0</v>
      </c>
    </row>
    <row r="387" spans="1:10" ht="14.4" thickBot="1" x14ac:dyDescent="0.3">
      <c r="C387" s="194"/>
      <c r="D387" s="195"/>
      <c r="E387" s="195"/>
      <c r="F387" s="132"/>
      <c r="G387" s="132"/>
      <c r="H387" s="133">
        <f>G387/G389</f>
        <v>0</v>
      </c>
      <c r="I387" s="132">
        <f t="shared" si="70"/>
        <v>0</v>
      </c>
      <c r="J387" s="113">
        <f t="shared" si="71"/>
        <v>0</v>
      </c>
    </row>
    <row r="388" spans="1:10" ht="14.4" thickBot="1" x14ac:dyDescent="0.3">
      <c r="C388" s="196" t="s">
        <v>81</v>
      </c>
      <c r="D388" s="197"/>
      <c r="E388" s="197"/>
      <c r="F388" s="134"/>
      <c r="G388" s="134">
        <f>SUM(G374:G387)</f>
        <v>388</v>
      </c>
      <c r="H388" s="135">
        <f>G388/G389</f>
        <v>0.12646675358539766</v>
      </c>
      <c r="I388" s="134">
        <f t="shared" si="70"/>
        <v>27.160000000000004</v>
      </c>
      <c r="J388" s="123">
        <f t="shared" si="71"/>
        <v>19.400000000000002</v>
      </c>
    </row>
    <row r="389" spans="1:10" ht="14.4" thickBot="1" x14ac:dyDescent="0.3">
      <c r="C389" s="196" t="s">
        <v>7</v>
      </c>
      <c r="D389" s="197"/>
      <c r="E389" s="197"/>
      <c r="F389" s="134"/>
      <c r="G389" s="134">
        <f>G372+G388</f>
        <v>3068</v>
      </c>
      <c r="H389" s="135">
        <f>G389/G389</f>
        <v>1</v>
      </c>
      <c r="I389" s="134">
        <f t="shared" si="70"/>
        <v>214.76000000000002</v>
      </c>
      <c r="J389" s="123">
        <f t="shared" si="71"/>
        <v>153.4</v>
      </c>
    </row>
    <row r="390" spans="1:10" ht="16.2" thickBot="1" x14ac:dyDescent="0.35">
      <c r="C390" s="6" t="str">
        <f>G69</f>
        <v>Landscaping</v>
      </c>
      <c r="E390" s="5"/>
      <c r="F390" s="5"/>
    </row>
    <row r="391" spans="1:10" ht="14.4" thickBot="1" x14ac:dyDescent="0.3">
      <c r="A391" s="63" t="s">
        <v>72</v>
      </c>
      <c r="C391" s="196" t="s">
        <v>0</v>
      </c>
      <c r="D391" s="197"/>
      <c r="E391" s="197"/>
      <c r="F391" s="125" t="s">
        <v>1</v>
      </c>
      <c r="G391" s="126" t="s">
        <v>73</v>
      </c>
      <c r="H391" s="126" t="s">
        <v>83</v>
      </c>
      <c r="I391" s="125" t="s">
        <v>3</v>
      </c>
      <c r="J391" s="127" t="s">
        <v>4</v>
      </c>
    </row>
    <row r="392" spans="1:10" x14ac:dyDescent="0.25">
      <c r="C392" s="198" t="s">
        <v>74</v>
      </c>
      <c r="D392" s="199"/>
      <c r="E392" s="199"/>
      <c r="F392" s="199"/>
      <c r="G392" s="199"/>
      <c r="H392" s="199"/>
      <c r="I392" s="199"/>
      <c r="J392" s="128"/>
    </row>
    <row r="393" spans="1:10" x14ac:dyDescent="0.25">
      <c r="C393" s="192"/>
      <c r="D393" s="193"/>
      <c r="E393" s="193"/>
      <c r="F393" s="129"/>
      <c r="G393" s="130">
        <v>3000</v>
      </c>
      <c r="H393" s="131">
        <f>G393/G414</f>
        <v>0.6</v>
      </c>
      <c r="I393" s="130">
        <f>G393*7%</f>
        <v>210.00000000000003</v>
      </c>
      <c r="J393" s="86">
        <f>G393*5%</f>
        <v>150</v>
      </c>
    </row>
    <row r="394" spans="1:10" x14ac:dyDescent="0.25">
      <c r="C394" s="192"/>
      <c r="D394" s="193"/>
      <c r="E394" s="193"/>
      <c r="F394" s="129"/>
      <c r="G394" s="130"/>
      <c r="H394" s="131">
        <f>G394/G414</f>
        <v>0</v>
      </c>
      <c r="I394" s="130">
        <f t="shared" ref="I394:I397" si="72">G394*7%</f>
        <v>0</v>
      </c>
      <c r="J394" s="86">
        <f t="shared" ref="J394:J397" si="73">G394*5%</f>
        <v>0</v>
      </c>
    </row>
    <row r="395" spans="1:10" x14ac:dyDescent="0.25">
      <c r="C395" s="192"/>
      <c r="D395" s="193"/>
      <c r="E395" s="193"/>
      <c r="F395" s="130"/>
      <c r="G395" s="130"/>
      <c r="H395" s="131">
        <f>G395/G414</f>
        <v>0</v>
      </c>
      <c r="I395" s="130">
        <f t="shared" si="72"/>
        <v>0</v>
      </c>
      <c r="J395" s="86">
        <f t="shared" si="73"/>
        <v>0</v>
      </c>
    </row>
    <row r="396" spans="1:10" ht="14.4" thickBot="1" x14ac:dyDescent="0.3">
      <c r="C396" s="194"/>
      <c r="D396" s="195"/>
      <c r="E396" s="195"/>
      <c r="F396" s="132"/>
      <c r="G396" s="132"/>
      <c r="H396" s="133">
        <f>G396/G414</f>
        <v>0</v>
      </c>
      <c r="I396" s="132">
        <f t="shared" si="72"/>
        <v>0</v>
      </c>
      <c r="J396" s="113">
        <f t="shared" si="73"/>
        <v>0</v>
      </c>
    </row>
    <row r="397" spans="1:10" ht="14.4" thickBot="1" x14ac:dyDescent="0.3">
      <c r="C397" s="196" t="s">
        <v>82</v>
      </c>
      <c r="D397" s="197"/>
      <c r="E397" s="197"/>
      <c r="F397" s="134"/>
      <c r="G397" s="134">
        <f>SUM(G393:G396)</f>
        <v>3000</v>
      </c>
      <c r="H397" s="135">
        <f>G397/G414</f>
        <v>0.6</v>
      </c>
      <c r="I397" s="134">
        <f t="shared" si="72"/>
        <v>210.00000000000003</v>
      </c>
      <c r="J397" s="123">
        <f t="shared" si="73"/>
        <v>150</v>
      </c>
    </row>
    <row r="398" spans="1:10" x14ac:dyDescent="0.25">
      <c r="C398" s="198" t="s">
        <v>75</v>
      </c>
      <c r="D398" s="199"/>
      <c r="E398" s="199"/>
      <c r="F398" s="199"/>
      <c r="G398" s="199"/>
      <c r="H398" s="199"/>
      <c r="I398" s="199"/>
      <c r="J398" s="128"/>
    </row>
    <row r="399" spans="1:10" x14ac:dyDescent="0.25">
      <c r="C399" s="192"/>
      <c r="D399" s="193"/>
      <c r="E399" s="193"/>
      <c r="F399" s="129"/>
      <c r="G399" s="130">
        <v>2000</v>
      </c>
      <c r="H399" s="131">
        <f>G399/G414</f>
        <v>0.4</v>
      </c>
      <c r="I399" s="130">
        <f>G399*7%</f>
        <v>140</v>
      </c>
      <c r="J399" s="86">
        <f>G399*5%</f>
        <v>100</v>
      </c>
    </row>
    <row r="400" spans="1:10" x14ac:dyDescent="0.25">
      <c r="C400" s="192"/>
      <c r="D400" s="193"/>
      <c r="E400" s="193"/>
      <c r="F400" s="129"/>
      <c r="G400" s="130"/>
      <c r="H400" s="131">
        <f>G400/G414</f>
        <v>0</v>
      </c>
      <c r="I400" s="130">
        <f t="shared" ref="I400:I414" si="74">G400*7%</f>
        <v>0</v>
      </c>
      <c r="J400" s="86">
        <f t="shared" ref="J400:J414" si="75">G400*5%</f>
        <v>0</v>
      </c>
    </row>
    <row r="401" spans="1:10" x14ac:dyDescent="0.25">
      <c r="C401" s="192"/>
      <c r="D401" s="193"/>
      <c r="E401" s="193"/>
      <c r="F401" s="130"/>
      <c r="G401" s="130"/>
      <c r="H401" s="131">
        <f>G401/G414</f>
        <v>0</v>
      </c>
      <c r="I401" s="130">
        <f t="shared" si="74"/>
        <v>0</v>
      </c>
      <c r="J401" s="86">
        <f t="shared" si="75"/>
        <v>0</v>
      </c>
    </row>
    <row r="402" spans="1:10" x14ac:dyDescent="0.25">
      <c r="C402" s="192"/>
      <c r="D402" s="193"/>
      <c r="E402" s="193"/>
      <c r="F402" s="130"/>
      <c r="G402" s="130"/>
      <c r="H402" s="131">
        <f>G402/G414</f>
        <v>0</v>
      </c>
      <c r="I402" s="130">
        <f t="shared" si="74"/>
        <v>0</v>
      </c>
      <c r="J402" s="86">
        <f t="shared" si="75"/>
        <v>0</v>
      </c>
    </row>
    <row r="403" spans="1:10" x14ac:dyDescent="0.25">
      <c r="C403" s="192"/>
      <c r="D403" s="193"/>
      <c r="E403" s="193"/>
      <c r="F403" s="130"/>
      <c r="G403" s="130"/>
      <c r="H403" s="131">
        <f>G403/G414</f>
        <v>0</v>
      </c>
      <c r="I403" s="130">
        <f t="shared" si="74"/>
        <v>0</v>
      </c>
      <c r="J403" s="86">
        <f t="shared" si="75"/>
        <v>0</v>
      </c>
    </row>
    <row r="404" spans="1:10" x14ac:dyDescent="0.25">
      <c r="C404" s="192"/>
      <c r="D404" s="193"/>
      <c r="E404" s="193"/>
      <c r="F404" s="130"/>
      <c r="G404" s="130"/>
      <c r="H404" s="131">
        <f>G404/G414</f>
        <v>0</v>
      </c>
      <c r="I404" s="130">
        <f t="shared" si="74"/>
        <v>0</v>
      </c>
      <c r="J404" s="86">
        <f t="shared" si="75"/>
        <v>0</v>
      </c>
    </row>
    <row r="405" spans="1:10" x14ac:dyDescent="0.25">
      <c r="C405" s="192"/>
      <c r="D405" s="193"/>
      <c r="E405" s="193"/>
      <c r="F405" s="130"/>
      <c r="G405" s="130"/>
      <c r="H405" s="131">
        <f>G405/G414</f>
        <v>0</v>
      </c>
      <c r="I405" s="130">
        <f t="shared" si="74"/>
        <v>0</v>
      </c>
      <c r="J405" s="86">
        <f t="shared" si="75"/>
        <v>0</v>
      </c>
    </row>
    <row r="406" spans="1:10" x14ac:dyDescent="0.25">
      <c r="C406" s="192"/>
      <c r="D406" s="193"/>
      <c r="E406" s="193"/>
      <c r="F406" s="130"/>
      <c r="G406" s="130"/>
      <c r="H406" s="131">
        <f>G406/G414</f>
        <v>0</v>
      </c>
      <c r="I406" s="130">
        <f t="shared" si="74"/>
        <v>0</v>
      </c>
      <c r="J406" s="86">
        <f t="shared" si="75"/>
        <v>0</v>
      </c>
    </row>
    <row r="407" spans="1:10" x14ac:dyDescent="0.25">
      <c r="C407" s="192"/>
      <c r="D407" s="193"/>
      <c r="E407" s="193"/>
      <c r="F407" s="130"/>
      <c r="G407" s="130"/>
      <c r="H407" s="131">
        <f>G407/G414</f>
        <v>0</v>
      </c>
      <c r="I407" s="130">
        <f t="shared" si="74"/>
        <v>0</v>
      </c>
      <c r="J407" s="86">
        <f t="shared" si="75"/>
        <v>0</v>
      </c>
    </row>
    <row r="408" spans="1:10" x14ac:dyDescent="0.25">
      <c r="C408" s="192"/>
      <c r="D408" s="193"/>
      <c r="E408" s="193"/>
      <c r="F408" s="130"/>
      <c r="G408" s="130"/>
      <c r="H408" s="131">
        <f>G408/G414</f>
        <v>0</v>
      </c>
      <c r="I408" s="130">
        <f t="shared" si="74"/>
        <v>0</v>
      </c>
      <c r="J408" s="86">
        <f t="shared" si="75"/>
        <v>0</v>
      </c>
    </row>
    <row r="409" spans="1:10" x14ac:dyDescent="0.25">
      <c r="C409" s="192"/>
      <c r="D409" s="193"/>
      <c r="E409" s="193"/>
      <c r="F409" s="130"/>
      <c r="G409" s="130"/>
      <c r="H409" s="131">
        <f>G409/G414</f>
        <v>0</v>
      </c>
      <c r="I409" s="130">
        <f t="shared" si="74"/>
        <v>0</v>
      </c>
      <c r="J409" s="86">
        <f t="shared" si="75"/>
        <v>0</v>
      </c>
    </row>
    <row r="410" spans="1:10" x14ac:dyDescent="0.25">
      <c r="C410" s="192"/>
      <c r="D410" s="193"/>
      <c r="E410" s="193"/>
      <c r="F410" s="130"/>
      <c r="G410" s="130"/>
      <c r="H410" s="131">
        <f>G410/G414</f>
        <v>0</v>
      </c>
      <c r="I410" s="130">
        <f t="shared" si="74"/>
        <v>0</v>
      </c>
      <c r="J410" s="86">
        <f t="shared" si="75"/>
        <v>0</v>
      </c>
    </row>
    <row r="411" spans="1:10" x14ac:dyDescent="0.25">
      <c r="C411" s="192"/>
      <c r="D411" s="193"/>
      <c r="E411" s="193"/>
      <c r="F411" s="130"/>
      <c r="G411" s="130"/>
      <c r="H411" s="131">
        <f>G411/G414</f>
        <v>0</v>
      </c>
      <c r="I411" s="130">
        <f t="shared" si="74"/>
        <v>0</v>
      </c>
      <c r="J411" s="86">
        <f t="shared" si="75"/>
        <v>0</v>
      </c>
    </row>
    <row r="412" spans="1:10" ht="14.4" thickBot="1" x14ac:dyDescent="0.3">
      <c r="C412" s="194"/>
      <c r="D412" s="195"/>
      <c r="E412" s="195"/>
      <c r="F412" s="132"/>
      <c r="G412" s="132"/>
      <c r="H412" s="133">
        <f>G412/G414</f>
        <v>0</v>
      </c>
      <c r="I412" s="132">
        <f t="shared" si="74"/>
        <v>0</v>
      </c>
      <c r="J412" s="113">
        <f t="shared" si="75"/>
        <v>0</v>
      </c>
    </row>
    <row r="413" spans="1:10" ht="14.4" thickBot="1" x14ac:dyDescent="0.3">
      <c r="C413" s="196" t="s">
        <v>81</v>
      </c>
      <c r="D413" s="197"/>
      <c r="E413" s="197"/>
      <c r="F413" s="134"/>
      <c r="G413" s="134">
        <f>SUM(G399:G412)</f>
        <v>2000</v>
      </c>
      <c r="H413" s="135">
        <f>G413/G414</f>
        <v>0.4</v>
      </c>
      <c r="I413" s="134">
        <f t="shared" si="74"/>
        <v>140</v>
      </c>
      <c r="J413" s="123">
        <f t="shared" si="75"/>
        <v>100</v>
      </c>
    </row>
    <row r="414" spans="1:10" ht="14.4" thickBot="1" x14ac:dyDescent="0.3">
      <c r="C414" s="196" t="s">
        <v>7</v>
      </c>
      <c r="D414" s="197"/>
      <c r="E414" s="197"/>
      <c r="F414" s="134"/>
      <c r="G414" s="134">
        <f>G397+G413</f>
        <v>5000</v>
      </c>
      <c r="H414" s="135">
        <f>G414/G414</f>
        <v>1</v>
      </c>
      <c r="I414" s="134">
        <f t="shared" si="74"/>
        <v>350.00000000000006</v>
      </c>
      <c r="J414" s="123">
        <f t="shared" si="75"/>
        <v>250</v>
      </c>
    </row>
    <row r="415" spans="1:10" ht="16.2" thickBot="1" x14ac:dyDescent="0.35">
      <c r="C415" s="6" t="str">
        <f>G70</f>
        <v>Siding</v>
      </c>
      <c r="E415" s="5"/>
      <c r="F415" s="5"/>
    </row>
    <row r="416" spans="1:10" ht="14.4" thickBot="1" x14ac:dyDescent="0.3">
      <c r="A416" s="63" t="s">
        <v>72</v>
      </c>
      <c r="C416" s="196" t="s">
        <v>0</v>
      </c>
      <c r="D416" s="197"/>
      <c r="E416" s="197"/>
      <c r="F416" s="125" t="s">
        <v>1</v>
      </c>
      <c r="G416" s="126" t="s">
        <v>73</v>
      </c>
      <c r="H416" s="126" t="s">
        <v>83</v>
      </c>
      <c r="I416" s="125" t="s">
        <v>3</v>
      </c>
      <c r="J416" s="127" t="s">
        <v>4</v>
      </c>
    </row>
    <row r="417" spans="3:10" x14ac:dyDescent="0.25">
      <c r="C417" s="198" t="s">
        <v>74</v>
      </c>
      <c r="D417" s="199"/>
      <c r="E417" s="199"/>
      <c r="F417" s="199"/>
      <c r="G417" s="199"/>
      <c r="H417" s="199"/>
      <c r="I417" s="199"/>
      <c r="J417" s="128"/>
    </row>
    <row r="418" spans="3:10" x14ac:dyDescent="0.25">
      <c r="C418" s="192"/>
      <c r="D418" s="193"/>
      <c r="E418" s="193"/>
      <c r="F418" s="129"/>
      <c r="G418" s="130">
        <v>3500</v>
      </c>
      <c r="H418" s="131">
        <f>G418/G439</f>
        <v>0.45584787705131546</v>
      </c>
      <c r="I418" s="130">
        <f>G418*7%</f>
        <v>245.00000000000003</v>
      </c>
      <c r="J418" s="86">
        <f>G418*5%</f>
        <v>175</v>
      </c>
    </row>
    <row r="419" spans="3:10" x14ac:dyDescent="0.25">
      <c r="C419" s="192"/>
      <c r="D419" s="193"/>
      <c r="E419" s="193"/>
      <c r="F419" s="129"/>
      <c r="G419" s="130">
        <v>0</v>
      </c>
      <c r="H419" s="131">
        <f>G419/G439</f>
        <v>0</v>
      </c>
      <c r="I419" s="130">
        <f t="shared" ref="I419:I422" si="76">G419*7%</f>
        <v>0</v>
      </c>
      <c r="J419" s="86">
        <f t="shared" ref="J419:J422" si="77">G419*5%</f>
        <v>0</v>
      </c>
    </row>
    <row r="420" spans="3:10" x14ac:dyDescent="0.25">
      <c r="C420" s="192"/>
      <c r="D420" s="193"/>
      <c r="E420" s="193"/>
      <c r="F420" s="130"/>
      <c r="G420" s="130"/>
      <c r="H420" s="131">
        <f>G420/G439</f>
        <v>0</v>
      </c>
      <c r="I420" s="130">
        <f t="shared" si="76"/>
        <v>0</v>
      </c>
      <c r="J420" s="86">
        <f t="shared" si="77"/>
        <v>0</v>
      </c>
    </row>
    <row r="421" spans="3:10" ht="14.4" thickBot="1" x14ac:dyDescent="0.3">
      <c r="C421" s="194"/>
      <c r="D421" s="195"/>
      <c r="E421" s="195"/>
      <c r="F421" s="132"/>
      <c r="G421" s="132"/>
      <c r="H421" s="133">
        <f>G421/G439</f>
        <v>0</v>
      </c>
      <c r="I421" s="132">
        <f t="shared" si="76"/>
        <v>0</v>
      </c>
      <c r="J421" s="113">
        <f t="shared" si="77"/>
        <v>0</v>
      </c>
    </row>
    <row r="422" spans="3:10" ht="14.4" thickBot="1" x14ac:dyDescent="0.3">
      <c r="C422" s="196" t="s">
        <v>82</v>
      </c>
      <c r="D422" s="197"/>
      <c r="E422" s="197"/>
      <c r="F422" s="134"/>
      <c r="G422" s="134">
        <f>SUM(G418:G421)</f>
        <v>3500</v>
      </c>
      <c r="H422" s="135">
        <f>G422/G439</f>
        <v>0.45584787705131546</v>
      </c>
      <c r="I422" s="134">
        <f t="shared" si="76"/>
        <v>245.00000000000003</v>
      </c>
      <c r="J422" s="123">
        <f t="shared" si="77"/>
        <v>175</v>
      </c>
    </row>
    <row r="423" spans="3:10" x14ac:dyDescent="0.25">
      <c r="C423" s="198" t="s">
        <v>75</v>
      </c>
      <c r="D423" s="199"/>
      <c r="E423" s="199"/>
      <c r="F423" s="199"/>
      <c r="G423" s="199"/>
      <c r="H423" s="199"/>
      <c r="I423" s="199"/>
      <c r="J423" s="128"/>
    </row>
    <row r="424" spans="3:10" x14ac:dyDescent="0.25">
      <c r="C424" s="192"/>
      <c r="D424" s="193"/>
      <c r="E424" s="193"/>
      <c r="F424" s="129"/>
      <c r="G424" s="130">
        <v>4000</v>
      </c>
      <c r="H424" s="131">
        <f>G424/G439</f>
        <v>0.5209690023443605</v>
      </c>
      <c r="I424" s="130">
        <f>G424*7%</f>
        <v>280</v>
      </c>
      <c r="J424" s="86">
        <f>G424*5%</f>
        <v>200</v>
      </c>
    </row>
    <row r="425" spans="3:10" x14ac:dyDescent="0.25">
      <c r="C425" s="192"/>
      <c r="D425" s="193"/>
      <c r="E425" s="193"/>
      <c r="F425" s="129"/>
      <c r="G425" s="130">
        <v>100</v>
      </c>
      <c r="H425" s="131">
        <f>G425/G439</f>
        <v>1.3024225058609012E-2</v>
      </c>
      <c r="I425" s="130">
        <f t="shared" ref="I425:I439" si="78">G425*7%</f>
        <v>7.0000000000000009</v>
      </c>
      <c r="J425" s="86">
        <f t="shared" ref="J425:J439" si="79">G425*5%</f>
        <v>5</v>
      </c>
    </row>
    <row r="426" spans="3:10" x14ac:dyDescent="0.25">
      <c r="C426" s="192"/>
      <c r="D426" s="193"/>
      <c r="E426" s="193"/>
      <c r="F426" s="130"/>
      <c r="G426" s="130">
        <v>78</v>
      </c>
      <c r="H426" s="131">
        <f>G426/G439</f>
        <v>1.015889554571503E-2</v>
      </c>
      <c r="I426" s="130">
        <f t="shared" si="78"/>
        <v>5.4600000000000009</v>
      </c>
      <c r="J426" s="86">
        <f t="shared" si="79"/>
        <v>3.9000000000000004</v>
      </c>
    </row>
    <row r="427" spans="3:10" x14ac:dyDescent="0.25">
      <c r="C427" s="192"/>
      <c r="D427" s="193"/>
      <c r="E427" s="193"/>
      <c r="F427" s="130"/>
      <c r="G427" s="130"/>
      <c r="H427" s="131">
        <f>G427/G439</f>
        <v>0</v>
      </c>
      <c r="I427" s="130">
        <f t="shared" si="78"/>
        <v>0</v>
      </c>
      <c r="J427" s="86">
        <f t="shared" si="79"/>
        <v>0</v>
      </c>
    </row>
    <row r="428" spans="3:10" x14ac:dyDescent="0.25">
      <c r="C428" s="192"/>
      <c r="D428" s="193"/>
      <c r="E428" s="193"/>
      <c r="F428" s="130"/>
      <c r="G428" s="130"/>
      <c r="H428" s="131">
        <f>G428/G439</f>
        <v>0</v>
      </c>
      <c r="I428" s="130">
        <f t="shared" si="78"/>
        <v>0</v>
      </c>
      <c r="J428" s="86">
        <f t="shared" si="79"/>
        <v>0</v>
      </c>
    </row>
    <row r="429" spans="3:10" x14ac:dyDescent="0.25">
      <c r="C429" s="192"/>
      <c r="D429" s="193"/>
      <c r="E429" s="193"/>
      <c r="F429" s="130"/>
      <c r="G429" s="130"/>
      <c r="H429" s="131">
        <f>G429/G439</f>
        <v>0</v>
      </c>
      <c r="I429" s="130">
        <f t="shared" si="78"/>
        <v>0</v>
      </c>
      <c r="J429" s="86">
        <f t="shared" si="79"/>
        <v>0</v>
      </c>
    </row>
    <row r="430" spans="3:10" x14ac:dyDescent="0.25">
      <c r="C430" s="192"/>
      <c r="D430" s="193"/>
      <c r="E430" s="193"/>
      <c r="F430" s="130"/>
      <c r="G430" s="130"/>
      <c r="H430" s="131">
        <f>G430/G439</f>
        <v>0</v>
      </c>
      <c r="I430" s="130">
        <f t="shared" si="78"/>
        <v>0</v>
      </c>
      <c r="J430" s="86">
        <f t="shared" si="79"/>
        <v>0</v>
      </c>
    </row>
    <row r="431" spans="3:10" x14ac:dyDescent="0.25">
      <c r="C431" s="192"/>
      <c r="D431" s="193"/>
      <c r="E431" s="193"/>
      <c r="F431" s="130"/>
      <c r="G431" s="130"/>
      <c r="H431" s="131">
        <f>G431/G439</f>
        <v>0</v>
      </c>
      <c r="I431" s="130">
        <f t="shared" si="78"/>
        <v>0</v>
      </c>
      <c r="J431" s="86">
        <f t="shared" si="79"/>
        <v>0</v>
      </c>
    </row>
    <row r="432" spans="3:10" x14ac:dyDescent="0.25">
      <c r="C432" s="192"/>
      <c r="D432" s="193"/>
      <c r="E432" s="193"/>
      <c r="F432" s="130"/>
      <c r="G432" s="130"/>
      <c r="H432" s="131">
        <f>G432/G439</f>
        <v>0</v>
      </c>
      <c r="I432" s="130">
        <f t="shared" si="78"/>
        <v>0</v>
      </c>
      <c r="J432" s="86">
        <f t="shared" si="79"/>
        <v>0</v>
      </c>
    </row>
    <row r="433" spans="1:10" x14ac:dyDescent="0.25">
      <c r="C433" s="192"/>
      <c r="D433" s="193"/>
      <c r="E433" s="193"/>
      <c r="F433" s="130"/>
      <c r="G433" s="130"/>
      <c r="H433" s="131">
        <f>G433/G439</f>
        <v>0</v>
      </c>
      <c r="I433" s="130">
        <f t="shared" si="78"/>
        <v>0</v>
      </c>
      <c r="J433" s="86">
        <f t="shared" si="79"/>
        <v>0</v>
      </c>
    </row>
    <row r="434" spans="1:10" x14ac:dyDescent="0.25">
      <c r="C434" s="192"/>
      <c r="D434" s="193"/>
      <c r="E434" s="193"/>
      <c r="F434" s="130"/>
      <c r="G434" s="130"/>
      <c r="H434" s="131">
        <f>G434/G439</f>
        <v>0</v>
      </c>
      <c r="I434" s="130">
        <f t="shared" si="78"/>
        <v>0</v>
      </c>
      <c r="J434" s="86">
        <f t="shared" si="79"/>
        <v>0</v>
      </c>
    </row>
    <row r="435" spans="1:10" x14ac:dyDescent="0.25">
      <c r="C435" s="192"/>
      <c r="D435" s="193"/>
      <c r="E435" s="193"/>
      <c r="F435" s="130"/>
      <c r="G435" s="130"/>
      <c r="H435" s="131">
        <f>G435/G439</f>
        <v>0</v>
      </c>
      <c r="I435" s="130">
        <f t="shared" si="78"/>
        <v>0</v>
      </c>
      <c r="J435" s="86">
        <f t="shared" si="79"/>
        <v>0</v>
      </c>
    </row>
    <row r="436" spans="1:10" x14ac:dyDescent="0.25">
      <c r="C436" s="192"/>
      <c r="D436" s="193"/>
      <c r="E436" s="193"/>
      <c r="F436" s="130"/>
      <c r="G436" s="130"/>
      <c r="H436" s="131">
        <f>G436/G439</f>
        <v>0</v>
      </c>
      <c r="I436" s="130">
        <f t="shared" si="78"/>
        <v>0</v>
      </c>
      <c r="J436" s="86">
        <f t="shared" si="79"/>
        <v>0</v>
      </c>
    </row>
    <row r="437" spans="1:10" ht="14.4" thickBot="1" x14ac:dyDescent="0.3">
      <c r="C437" s="194"/>
      <c r="D437" s="195"/>
      <c r="E437" s="195"/>
      <c r="F437" s="132"/>
      <c r="G437" s="132"/>
      <c r="H437" s="133">
        <f>G437/G439</f>
        <v>0</v>
      </c>
      <c r="I437" s="132">
        <f t="shared" si="78"/>
        <v>0</v>
      </c>
      <c r="J437" s="113">
        <f t="shared" si="79"/>
        <v>0</v>
      </c>
    </row>
    <row r="438" spans="1:10" ht="14.4" thickBot="1" x14ac:dyDescent="0.3">
      <c r="C438" s="196" t="s">
        <v>81</v>
      </c>
      <c r="D438" s="197"/>
      <c r="E438" s="197"/>
      <c r="F438" s="134"/>
      <c r="G438" s="134">
        <f>SUM(G424:G437)</f>
        <v>4178</v>
      </c>
      <c r="H438" s="135">
        <f>G438/G439</f>
        <v>0.54415212294868454</v>
      </c>
      <c r="I438" s="134">
        <f t="shared" si="78"/>
        <v>292.46000000000004</v>
      </c>
      <c r="J438" s="123">
        <f t="shared" si="79"/>
        <v>208.9</v>
      </c>
    </row>
    <row r="439" spans="1:10" ht="14.4" thickBot="1" x14ac:dyDescent="0.3">
      <c r="C439" s="196" t="s">
        <v>7</v>
      </c>
      <c r="D439" s="197"/>
      <c r="E439" s="197"/>
      <c r="F439" s="134"/>
      <c r="G439" s="134">
        <f>G422+G438</f>
        <v>7678</v>
      </c>
      <c r="H439" s="135">
        <f>G439/G439</f>
        <v>1</v>
      </c>
      <c r="I439" s="134">
        <f t="shared" si="78"/>
        <v>537.46</v>
      </c>
      <c r="J439" s="123">
        <f t="shared" si="79"/>
        <v>383.90000000000003</v>
      </c>
    </row>
    <row r="440" spans="1:10" ht="16.2" thickBot="1" x14ac:dyDescent="0.35">
      <c r="C440" s="6" t="str">
        <f>G71</f>
        <v>Painting</v>
      </c>
      <c r="E440" s="5"/>
      <c r="F440" s="5"/>
    </row>
    <row r="441" spans="1:10" ht="14.4" thickBot="1" x14ac:dyDescent="0.3">
      <c r="A441" s="63" t="s">
        <v>72</v>
      </c>
      <c r="C441" s="196" t="s">
        <v>0</v>
      </c>
      <c r="D441" s="197"/>
      <c r="E441" s="197"/>
      <c r="F441" s="125" t="s">
        <v>1</v>
      </c>
      <c r="G441" s="126" t="s">
        <v>73</v>
      </c>
      <c r="H441" s="126" t="s">
        <v>83</v>
      </c>
      <c r="I441" s="125" t="s">
        <v>3</v>
      </c>
      <c r="J441" s="127" t="s">
        <v>4</v>
      </c>
    </row>
    <row r="442" spans="1:10" x14ac:dyDescent="0.25">
      <c r="C442" s="198" t="s">
        <v>74</v>
      </c>
      <c r="D442" s="199"/>
      <c r="E442" s="199"/>
      <c r="F442" s="199"/>
      <c r="G442" s="199"/>
      <c r="H442" s="199"/>
      <c r="I442" s="199"/>
      <c r="J442" s="128"/>
    </row>
    <row r="443" spans="1:10" x14ac:dyDescent="0.25">
      <c r="C443" s="192"/>
      <c r="D443" s="193"/>
      <c r="E443" s="193"/>
      <c r="F443" s="129"/>
      <c r="G443" s="130">
        <v>1000</v>
      </c>
      <c r="H443" s="131">
        <f>G443/G464</f>
        <v>0.58823529411764708</v>
      </c>
      <c r="I443" s="130">
        <f>G443*7%</f>
        <v>70</v>
      </c>
      <c r="J443" s="86">
        <f>G443*5%</f>
        <v>50</v>
      </c>
    </row>
    <row r="444" spans="1:10" x14ac:dyDescent="0.25">
      <c r="C444" s="192"/>
      <c r="D444" s="193"/>
      <c r="E444" s="193"/>
      <c r="F444" s="129"/>
      <c r="G444" s="130">
        <v>200</v>
      </c>
      <c r="H444" s="131">
        <f>G444/G464</f>
        <v>0.11764705882352941</v>
      </c>
      <c r="I444" s="130">
        <f t="shared" ref="I444:I447" si="80">G444*7%</f>
        <v>14.000000000000002</v>
      </c>
      <c r="J444" s="86">
        <f t="shared" ref="J444:J447" si="81">G444*5%</f>
        <v>10</v>
      </c>
    </row>
    <row r="445" spans="1:10" x14ac:dyDescent="0.25">
      <c r="C445" s="192"/>
      <c r="D445" s="193"/>
      <c r="E445" s="193"/>
      <c r="F445" s="130"/>
      <c r="G445" s="130"/>
      <c r="H445" s="131">
        <f>G445/G464</f>
        <v>0</v>
      </c>
      <c r="I445" s="130">
        <f t="shared" si="80"/>
        <v>0</v>
      </c>
      <c r="J445" s="86">
        <f t="shared" si="81"/>
        <v>0</v>
      </c>
    </row>
    <row r="446" spans="1:10" ht="14.4" thickBot="1" x14ac:dyDescent="0.3">
      <c r="C446" s="194"/>
      <c r="D446" s="195"/>
      <c r="E446" s="195"/>
      <c r="F446" s="132"/>
      <c r="G446" s="132"/>
      <c r="H446" s="133">
        <f>G446/G464</f>
        <v>0</v>
      </c>
      <c r="I446" s="132">
        <f t="shared" si="80"/>
        <v>0</v>
      </c>
      <c r="J446" s="113">
        <f t="shared" si="81"/>
        <v>0</v>
      </c>
    </row>
    <row r="447" spans="1:10" ht="14.4" thickBot="1" x14ac:dyDescent="0.3">
      <c r="C447" s="196" t="s">
        <v>82</v>
      </c>
      <c r="D447" s="197"/>
      <c r="E447" s="197"/>
      <c r="F447" s="134"/>
      <c r="G447" s="134">
        <f>SUM(G443:G446)</f>
        <v>1200</v>
      </c>
      <c r="H447" s="135">
        <f>G447/G464</f>
        <v>0.70588235294117652</v>
      </c>
      <c r="I447" s="134">
        <f t="shared" si="80"/>
        <v>84.000000000000014</v>
      </c>
      <c r="J447" s="123">
        <f t="shared" si="81"/>
        <v>60</v>
      </c>
    </row>
    <row r="448" spans="1:10" x14ac:dyDescent="0.25">
      <c r="C448" s="198" t="s">
        <v>75</v>
      </c>
      <c r="D448" s="199"/>
      <c r="E448" s="199"/>
      <c r="F448" s="199"/>
      <c r="G448" s="199"/>
      <c r="H448" s="199"/>
      <c r="I448" s="199"/>
      <c r="J448" s="128"/>
    </row>
    <row r="449" spans="1:10" x14ac:dyDescent="0.25">
      <c r="C449" s="192"/>
      <c r="D449" s="193"/>
      <c r="E449" s="193"/>
      <c r="F449" s="129"/>
      <c r="G449" s="130">
        <v>500</v>
      </c>
      <c r="H449" s="131">
        <f>G449/G464</f>
        <v>0.29411764705882354</v>
      </c>
      <c r="I449" s="130">
        <f>G449*7%</f>
        <v>35</v>
      </c>
      <c r="J449" s="86">
        <f>G449*5%</f>
        <v>25</v>
      </c>
    </row>
    <row r="450" spans="1:10" x14ac:dyDescent="0.25">
      <c r="C450" s="192"/>
      <c r="D450" s="193"/>
      <c r="E450" s="193"/>
      <c r="F450" s="129"/>
      <c r="G450" s="130"/>
      <c r="H450" s="131">
        <f>G450/G464</f>
        <v>0</v>
      </c>
      <c r="I450" s="130">
        <f t="shared" ref="I450:I464" si="82">G450*7%</f>
        <v>0</v>
      </c>
      <c r="J450" s="86">
        <f t="shared" ref="J450:J464" si="83">G450*5%</f>
        <v>0</v>
      </c>
    </row>
    <row r="451" spans="1:10" x14ac:dyDescent="0.25">
      <c r="C451" s="192"/>
      <c r="D451" s="193"/>
      <c r="E451" s="193"/>
      <c r="F451" s="130"/>
      <c r="G451" s="130"/>
      <c r="H451" s="131">
        <f>G451/G464</f>
        <v>0</v>
      </c>
      <c r="I451" s="130">
        <f t="shared" si="82"/>
        <v>0</v>
      </c>
      <c r="J451" s="86">
        <f t="shared" si="83"/>
        <v>0</v>
      </c>
    </row>
    <row r="452" spans="1:10" x14ac:dyDescent="0.25">
      <c r="C452" s="192"/>
      <c r="D452" s="193"/>
      <c r="E452" s="193"/>
      <c r="F452" s="130"/>
      <c r="G452" s="130"/>
      <c r="H452" s="131">
        <f>G452/G464</f>
        <v>0</v>
      </c>
      <c r="I452" s="130">
        <f t="shared" si="82"/>
        <v>0</v>
      </c>
      <c r="J452" s="86">
        <f t="shared" si="83"/>
        <v>0</v>
      </c>
    </row>
    <row r="453" spans="1:10" x14ac:dyDescent="0.25">
      <c r="A453" s="63"/>
      <c r="C453" s="192"/>
      <c r="D453" s="193"/>
      <c r="E453" s="193"/>
      <c r="F453" s="130"/>
      <c r="G453" s="130"/>
      <c r="H453" s="131">
        <f>G453/G464</f>
        <v>0</v>
      </c>
      <c r="I453" s="130">
        <f t="shared" si="82"/>
        <v>0</v>
      </c>
      <c r="J453" s="86">
        <f t="shared" si="83"/>
        <v>0</v>
      </c>
    </row>
    <row r="454" spans="1:10" x14ac:dyDescent="0.25">
      <c r="C454" s="192"/>
      <c r="D454" s="193"/>
      <c r="E454" s="193"/>
      <c r="F454" s="130"/>
      <c r="G454" s="130"/>
      <c r="H454" s="131">
        <f>G454/G464</f>
        <v>0</v>
      </c>
      <c r="I454" s="130">
        <f t="shared" si="82"/>
        <v>0</v>
      </c>
      <c r="J454" s="86">
        <f t="shared" si="83"/>
        <v>0</v>
      </c>
    </row>
    <row r="455" spans="1:10" x14ac:dyDescent="0.25">
      <c r="C455" s="192"/>
      <c r="D455" s="193"/>
      <c r="E455" s="193"/>
      <c r="F455" s="130"/>
      <c r="G455" s="130"/>
      <c r="H455" s="131">
        <f>G455/G464</f>
        <v>0</v>
      </c>
      <c r="I455" s="130">
        <f t="shared" si="82"/>
        <v>0</v>
      </c>
      <c r="J455" s="86">
        <f t="shared" si="83"/>
        <v>0</v>
      </c>
    </row>
    <row r="456" spans="1:10" x14ac:dyDescent="0.25">
      <c r="C456" s="192"/>
      <c r="D456" s="193"/>
      <c r="E456" s="193"/>
      <c r="F456" s="130"/>
      <c r="G456" s="130"/>
      <c r="H456" s="131">
        <f>G456/G464</f>
        <v>0</v>
      </c>
      <c r="I456" s="130">
        <f t="shared" si="82"/>
        <v>0</v>
      </c>
      <c r="J456" s="86">
        <f t="shared" si="83"/>
        <v>0</v>
      </c>
    </row>
    <row r="457" spans="1:10" x14ac:dyDescent="0.25">
      <c r="C457" s="192"/>
      <c r="D457" s="193"/>
      <c r="E457" s="193"/>
      <c r="F457" s="130"/>
      <c r="G457" s="130"/>
      <c r="H457" s="131">
        <f>G457/G464</f>
        <v>0</v>
      </c>
      <c r="I457" s="130">
        <f t="shared" si="82"/>
        <v>0</v>
      </c>
      <c r="J457" s="86">
        <f t="shared" si="83"/>
        <v>0</v>
      </c>
    </row>
    <row r="458" spans="1:10" x14ac:dyDescent="0.25">
      <c r="C458" s="192"/>
      <c r="D458" s="193"/>
      <c r="E458" s="193"/>
      <c r="F458" s="130"/>
      <c r="G458" s="130"/>
      <c r="H458" s="131">
        <f>G458/G464</f>
        <v>0</v>
      </c>
      <c r="I458" s="130">
        <f t="shared" si="82"/>
        <v>0</v>
      </c>
      <c r="J458" s="86">
        <f t="shared" si="83"/>
        <v>0</v>
      </c>
    </row>
    <row r="459" spans="1:10" x14ac:dyDescent="0.25">
      <c r="C459" s="192"/>
      <c r="D459" s="193"/>
      <c r="E459" s="193"/>
      <c r="F459" s="130"/>
      <c r="G459" s="130"/>
      <c r="H459" s="131">
        <f>G459/G464</f>
        <v>0</v>
      </c>
      <c r="I459" s="130">
        <f t="shared" si="82"/>
        <v>0</v>
      </c>
      <c r="J459" s="86">
        <f t="shared" si="83"/>
        <v>0</v>
      </c>
    </row>
    <row r="460" spans="1:10" x14ac:dyDescent="0.25">
      <c r="C460" s="192"/>
      <c r="D460" s="193"/>
      <c r="E460" s="193"/>
      <c r="F460" s="130"/>
      <c r="G460" s="130"/>
      <c r="H460" s="131">
        <f>G460/G464</f>
        <v>0</v>
      </c>
      <c r="I460" s="130">
        <f t="shared" si="82"/>
        <v>0</v>
      </c>
      <c r="J460" s="86">
        <f t="shared" si="83"/>
        <v>0</v>
      </c>
    </row>
    <row r="461" spans="1:10" x14ac:dyDescent="0.25">
      <c r="C461" s="192"/>
      <c r="D461" s="193"/>
      <c r="E461" s="193"/>
      <c r="F461" s="130"/>
      <c r="G461" s="130"/>
      <c r="H461" s="131">
        <f>G461/G464</f>
        <v>0</v>
      </c>
      <c r="I461" s="130">
        <f t="shared" si="82"/>
        <v>0</v>
      </c>
      <c r="J461" s="86">
        <f t="shared" si="83"/>
        <v>0</v>
      </c>
    </row>
    <row r="462" spans="1:10" ht="14.4" thickBot="1" x14ac:dyDescent="0.3">
      <c r="C462" s="194"/>
      <c r="D462" s="195"/>
      <c r="E462" s="195"/>
      <c r="F462" s="132"/>
      <c r="G462" s="132"/>
      <c r="H462" s="133">
        <f>G462/G464</f>
        <v>0</v>
      </c>
      <c r="I462" s="132">
        <f t="shared" si="82"/>
        <v>0</v>
      </c>
      <c r="J462" s="113">
        <f t="shared" si="83"/>
        <v>0</v>
      </c>
    </row>
    <row r="463" spans="1:10" ht="14.4" thickBot="1" x14ac:dyDescent="0.3">
      <c r="C463" s="196" t="s">
        <v>81</v>
      </c>
      <c r="D463" s="197"/>
      <c r="E463" s="197"/>
      <c r="F463" s="134"/>
      <c r="G463" s="134">
        <f>SUM(G449:G462)</f>
        <v>500</v>
      </c>
      <c r="H463" s="135">
        <f>G463/G464</f>
        <v>0.29411764705882354</v>
      </c>
      <c r="I463" s="134">
        <f t="shared" si="82"/>
        <v>35</v>
      </c>
      <c r="J463" s="123">
        <f t="shared" si="83"/>
        <v>25</v>
      </c>
    </row>
    <row r="464" spans="1:10" ht="14.4" thickBot="1" x14ac:dyDescent="0.3">
      <c r="C464" s="196" t="s">
        <v>7</v>
      </c>
      <c r="D464" s="197"/>
      <c r="E464" s="197"/>
      <c r="F464" s="134"/>
      <c r="G464" s="134">
        <f>G447+G463</f>
        <v>1700</v>
      </c>
      <c r="H464" s="135">
        <f>G464/G464</f>
        <v>1</v>
      </c>
      <c r="I464" s="134">
        <f t="shared" si="82"/>
        <v>119.00000000000001</v>
      </c>
      <c r="J464" s="123">
        <f t="shared" si="83"/>
        <v>85</v>
      </c>
    </row>
    <row r="465" spans="1:10" ht="16.2" thickBot="1" x14ac:dyDescent="0.35">
      <c r="C465" s="6" t="str">
        <f>G72</f>
        <v>Deck</v>
      </c>
      <c r="E465" s="5"/>
      <c r="F465" s="5"/>
    </row>
    <row r="466" spans="1:10" ht="14.4" thickBot="1" x14ac:dyDescent="0.3">
      <c r="A466" s="63" t="s">
        <v>72</v>
      </c>
      <c r="C466" s="196" t="s">
        <v>0</v>
      </c>
      <c r="D466" s="197"/>
      <c r="E466" s="197"/>
      <c r="F466" s="125" t="s">
        <v>1</v>
      </c>
      <c r="G466" s="126" t="s">
        <v>73</v>
      </c>
      <c r="H466" s="126" t="s">
        <v>83</v>
      </c>
      <c r="I466" s="125" t="s">
        <v>3</v>
      </c>
      <c r="J466" s="127" t="s">
        <v>4</v>
      </c>
    </row>
    <row r="467" spans="1:10" x14ac:dyDescent="0.25">
      <c r="C467" s="198" t="s">
        <v>74</v>
      </c>
      <c r="D467" s="199"/>
      <c r="E467" s="199"/>
      <c r="F467" s="199"/>
      <c r="G467" s="199"/>
      <c r="H467" s="199"/>
      <c r="I467" s="199"/>
      <c r="J467" s="128"/>
    </row>
    <row r="468" spans="1:10" x14ac:dyDescent="0.25">
      <c r="C468" s="192"/>
      <c r="D468" s="193"/>
      <c r="E468" s="193"/>
      <c r="F468" s="129"/>
      <c r="G468" s="130">
        <v>1500</v>
      </c>
      <c r="H468" s="131">
        <f>G468/G489</f>
        <v>0.42857142857142855</v>
      </c>
      <c r="I468" s="130">
        <f>G468*7%</f>
        <v>105.00000000000001</v>
      </c>
      <c r="J468" s="86">
        <f>G468*5%</f>
        <v>75</v>
      </c>
    </row>
    <row r="469" spans="1:10" x14ac:dyDescent="0.25">
      <c r="C469" s="192"/>
      <c r="D469" s="193"/>
      <c r="E469" s="193"/>
      <c r="F469" s="129"/>
      <c r="G469" s="130"/>
      <c r="H469" s="131">
        <f>G469/G489</f>
        <v>0</v>
      </c>
      <c r="I469" s="130">
        <f t="shared" ref="I469:I472" si="84">G469*7%</f>
        <v>0</v>
      </c>
      <c r="J469" s="86">
        <f t="shared" ref="J469:J472" si="85">G469*5%</f>
        <v>0</v>
      </c>
    </row>
    <row r="470" spans="1:10" x14ac:dyDescent="0.25">
      <c r="C470" s="192"/>
      <c r="D470" s="193"/>
      <c r="E470" s="193"/>
      <c r="F470" s="130"/>
      <c r="G470" s="130"/>
      <c r="H470" s="131">
        <f>G470/G489</f>
        <v>0</v>
      </c>
      <c r="I470" s="130">
        <f t="shared" si="84"/>
        <v>0</v>
      </c>
      <c r="J470" s="86">
        <f t="shared" si="85"/>
        <v>0</v>
      </c>
    </row>
    <row r="471" spans="1:10" ht="14.4" thickBot="1" x14ac:dyDescent="0.3">
      <c r="C471" s="194"/>
      <c r="D471" s="195"/>
      <c r="E471" s="195"/>
      <c r="F471" s="132"/>
      <c r="G471" s="132"/>
      <c r="H471" s="133">
        <f>G471/G489</f>
        <v>0</v>
      </c>
      <c r="I471" s="132">
        <f t="shared" si="84"/>
        <v>0</v>
      </c>
      <c r="J471" s="113">
        <f t="shared" si="85"/>
        <v>0</v>
      </c>
    </row>
    <row r="472" spans="1:10" ht="14.4" thickBot="1" x14ac:dyDescent="0.3">
      <c r="C472" s="196" t="s">
        <v>82</v>
      </c>
      <c r="D472" s="197"/>
      <c r="E472" s="197"/>
      <c r="F472" s="134"/>
      <c r="G472" s="134">
        <f>SUM(G468:G471)</f>
        <v>1500</v>
      </c>
      <c r="H472" s="135">
        <f>G472/G489</f>
        <v>0.42857142857142855</v>
      </c>
      <c r="I472" s="134">
        <f t="shared" si="84"/>
        <v>105.00000000000001</v>
      </c>
      <c r="J472" s="123">
        <f t="shared" si="85"/>
        <v>75</v>
      </c>
    </row>
    <row r="473" spans="1:10" x14ac:dyDescent="0.25">
      <c r="C473" s="198" t="s">
        <v>75</v>
      </c>
      <c r="D473" s="199"/>
      <c r="E473" s="199"/>
      <c r="F473" s="199"/>
      <c r="G473" s="199"/>
      <c r="H473" s="199"/>
      <c r="I473" s="199"/>
      <c r="J473" s="128"/>
    </row>
    <row r="474" spans="1:10" x14ac:dyDescent="0.25">
      <c r="C474" s="192"/>
      <c r="D474" s="193"/>
      <c r="E474" s="193"/>
      <c r="F474" s="129"/>
      <c r="G474" s="130">
        <v>2000</v>
      </c>
      <c r="H474" s="131">
        <f>G474/G489</f>
        <v>0.5714285714285714</v>
      </c>
      <c r="I474" s="130">
        <f>G474*7%</f>
        <v>140</v>
      </c>
      <c r="J474" s="86">
        <f>G474*5%</f>
        <v>100</v>
      </c>
    </row>
    <row r="475" spans="1:10" x14ac:dyDescent="0.25">
      <c r="C475" s="192"/>
      <c r="D475" s="193"/>
      <c r="E475" s="193"/>
      <c r="F475" s="129"/>
      <c r="G475" s="130"/>
      <c r="H475" s="131">
        <f>G475/G489</f>
        <v>0</v>
      </c>
      <c r="I475" s="130">
        <f t="shared" ref="I475:I489" si="86">G475*7%</f>
        <v>0</v>
      </c>
      <c r="J475" s="86">
        <f t="shared" ref="J475:J489" si="87">G475*5%</f>
        <v>0</v>
      </c>
    </row>
    <row r="476" spans="1:10" x14ac:dyDescent="0.25">
      <c r="C476" s="192"/>
      <c r="D476" s="193"/>
      <c r="E476" s="193"/>
      <c r="F476" s="130"/>
      <c r="G476" s="130"/>
      <c r="H476" s="131">
        <f>G476/G489</f>
        <v>0</v>
      </c>
      <c r="I476" s="130">
        <f t="shared" si="86"/>
        <v>0</v>
      </c>
      <c r="J476" s="86">
        <f t="shared" si="87"/>
        <v>0</v>
      </c>
    </row>
    <row r="477" spans="1:10" x14ac:dyDescent="0.25">
      <c r="C477" s="192"/>
      <c r="D477" s="193"/>
      <c r="E477" s="193"/>
      <c r="F477" s="130"/>
      <c r="G477" s="130"/>
      <c r="H477" s="131">
        <f>G477/G489</f>
        <v>0</v>
      </c>
      <c r="I477" s="130">
        <f t="shared" si="86"/>
        <v>0</v>
      </c>
      <c r="J477" s="86">
        <f t="shared" si="87"/>
        <v>0</v>
      </c>
    </row>
    <row r="478" spans="1:10" x14ac:dyDescent="0.25">
      <c r="C478" s="192"/>
      <c r="D478" s="193"/>
      <c r="E478" s="193"/>
      <c r="F478" s="130"/>
      <c r="G478" s="130"/>
      <c r="H478" s="131">
        <f>G478/G489</f>
        <v>0</v>
      </c>
      <c r="I478" s="130">
        <f t="shared" si="86"/>
        <v>0</v>
      </c>
      <c r="J478" s="86">
        <f t="shared" si="87"/>
        <v>0</v>
      </c>
    </row>
    <row r="479" spans="1:10" x14ac:dyDescent="0.25">
      <c r="C479" s="192"/>
      <c r="D479" s="193"/>
      <c r="E479" s="193"/>
      <c r="F479" s="130"/>
      <c r="G479" s="130"/>
      <c r="H479" s="131">
        <f>G479/G489</f>
        <v>0</v>
      </c>
      <c r="I479" s="130">
        <f t="shared" si="86"/>
        <v>0</v>
      </c>
      <c r="J479" s="86">
        <f t="shared" si="87"/>
        <v>0</v>
      </c>
    </row>
    <row r="480" spans="1:10" x14ac:dyDescent="0.25">
      <c r="C480" s="192"/>
      <c r="D480" s="193"/>
      <c r="E480" s="193"/>
      <c r="F480" s="130"/>
      <c r="G480" s="130"/>
      <c r="H480" s="131">
        <f>G480/G489</f>
        <v>0</v>
      </c>
      <c r="I480" s="130">
        <f t="shared" si="86"/>
        <v>0</v>
      </c>
      <c r="J480" s="86">
        <f t="shared" si="87"/>
        <v>0</v>
      </c>
    </row>
    <row r="481" spans="1:10" x14ac:dyDescent="0.25">
      <c r="C481" s="192"/>
      <c r="D481" s="193"/>
      <c r="E481" s="193"/>
      <c r="F481" s="130"/>
      <c r="G481" s="130"/>
      <c r="H481" s="131">
        <f>G481/G489</f>
        <v>0</v>
      </c>
      <c r="I481" s="130">
        <f t="shared" si="86"/>
        <v>0</v>
      </c>
      <c r="J481" s="86">
        <f t="shared" si="87"/>
        <v>0</v>
      </c>
    </row>
    <row r="482" spans="1:10" x14ac:dyDescent="0.25">
      <c r="C482" s="192"/>
      <c r="D482" s="193"/>
      <c r="E482" s="193"/>
      <c r="F482" s="130"/>
      <c r="G482" s="130"/>
      <c r="H482" s="131">
        <f>G482/G489</f>
        <v>0</v>
      </c>
      <c r="I482" s="130">
        <f t="shared" si="86"/>
        <v>0</v>
      </c>
      <c r="J482" s="86">
        <f t="shared" si="87"/>
        <v>0</v>
      </c>
    </row>
    <row r="483" spans="1:10" x14ac:dyDescent="0.25">
      <c r="C483" s="192"/>
      <c r="D483" s="193"/>
      <c r="E483" s="193"/>
      <c r="F483" s="130"/>
      <c r="G483" s="130"/>
      <c r="H483" s="131">
        <f>G483/G489</f>
        <v>0</v>
      </c>
      <c r="I483" s="130">
        <f t="shared" si="86"/>
        <v>0</v>
      </c>
      <c r="J483" s="86">
        <f t="shared" si="87"/>
        <v>0</v>
      </c>
    </row>
    <row r="484" spans="1:10" x14ac:dyDescent="0.25">
      <c r="C484" s="192"/>
      <c r="D484" s="193"/>
      <c r="E484" s="193"/>
      <c r="F484" s="130"/>
      <c r="G484" s="130"/>
      <c r="H484" s="131">
        <f>G484/G489</f>
        <v>0</v>
      </c>
      <c r="I484" s="130">
        <f t="shared" si="86"/>
        <v>0</v>
      </c>
      <c r="J484" s="86">
        <f t="shared" si="87"/>
        <v>0</v>
      </c>
    </row>
    <row r="485" spans="1:10" x14ac:dyDescent="0.25">
      <c r="C485" s="192"/>
      <c r="D485" s="193"/>
      <c r="E485" s="193"/>
      <c r="F485" s="130"/>
      <c r="G485" s="130"/>
      <c r="H485" s="131">
        <f>G485/G489</f>
        <v>0</v>
      </c>
      <c r="I485" s="130">
        <f t="shared" si="86"/>
        <v>0</v>
      </c>
      <c r="J485" s="86">
        <f t="shared" si="87"/>
        <v>0</v>
      </c>
    </row>
    <row r="486" spans="1:10" x14ac:dyDescent="0.25">
      <c r="C486" s="192"/>
      <c r="D486" s="193"/>
      <c r="E486" s="193"/>
      <c r="F486" s="130"/>
      <c r="G486" s="130"/>
      <c r="H486" s="131">
        <f>G486/G489</f>
        <v>0</v>
      </c>
      <c r="I486" s="130">
        <f t="shared" si="86"/>
        <v>0</v>
      </c>
      <c r="J486" s="86">
        <f t="shared" si="87"/>
        <v>0</v>
      </c>
    </row>
    <row r="487" spans="1:10" ht="14.4" thickBot="1" x14ac:dyDescent="0.3">
      <c r="C487" s="194"/>
      <c r="D487" s="195"/>
      <c r="E487" s="195"/>
      <c r="F487" s="132"/>
      <c r="G487" s="132"/>
      <c r="H487" s="133">
        <f>G487/G489</f>
        <v>0</v>
      </c>
      <c r="I487" s="132">
        <f t="shared" si="86"/>
        <v>0</v>
      </c>
      <c r="J487" s="113">
        <f t="shared" si="87"/>
        <v>0</v>
      </c>
    </row>
    <row r="488" spans="1:10" ht="14.4" thickBot="1" x14ac:dyDescent="0.3">
      <c r="C488" s="196" t="s">
        <v>81</v>
      </c>
      <c r="D488" s="197"/>
      <c r="E488" s="197"/>
      <c r="F488" s="134"/>
      <c r="G488" s="134">
        <f>SUM(G474:G487)</f>
        <v>2000</v>
      </c>
      <c r="H488" s="135">
        <f>G488/G489</f>
        <v>0.5714285714285714</v>
      </c>
      <c r="I488" s="134">
        <f t="shared" si="86"/>
        <v>140</v>
      </c>
      <c r="J488" s="123">
        <f t="shared" si="87"/>
        <v>100</v>
      </c>
    </row>
    <row r="489" spans="1:10" ht="14.4" thickBot="1" x14ac:dyDescent="0.3">
      <c r="C489" s="196" t="s">
        <v>7</v>
      </c>
      <c r="D489" s="197"/>
      <c r="E489" s="197"/>
      <c r="F489" s="134"/>
      <c r="G489" s="134">
        <f>G472+G488</f>
        <v>3500</v>
      </c>
      <c r="H489" s="135">
        <f>G489/G489</f>
        <v>1</v>
      </c>
      <c r="I489" s="134">
        <f t="shared" si="86"/>
        <v>245.00000000000003</v>
      </c>
      <c r="J489" s="123">
        <f t="shared" si="87"/>
        <v>175</v>
      </c>
    </row>
    <row r="490" spans="1:10" ht="16.2" thickBot="1" x14ac:dyDescent="0.35">
      <c r="C490" s="6" t="str">
        <f>G73</f>
        <v>Fence</v>
      </c>
      <c r="E490" s="5"/>
      <c r="F490" s="5"/>
    </row>
    <row r="491" spans="1:10" ht="14.4" thickBot="1" x14ac:dyDescent="0.3">
      <c r="A491" s="63" t="s">
        <v>72</v>
      </c>
      <c r="C491" s="196" t="s">
        <v>0</v>
      </c>
      <c r="D491" s="197"/>
      <c r="E491" s="197"/>
      <c r="F491" s="125" t="s">
        <v>1</v>
      </c>
      <c r="G491" s="126" t="s">
        <v>73</v>
      </c>
      <c r="H491" s="126" t="s">
        <v>83</v>
      </c>
      <c r="I491" s="125" t="s">
        <v>3</v>
      </c>
      <c r="J491" s="127" t="s">
        <v>4</v>
      </c>
    </row>
    <row r="492" spans="1:10" x14ac:dyDescent="0.25">
      <c r="C492" s="198" t="s">
        <v>74</v>
      </c>
      <c r="D492" s="199"/>
      <c r="E492" s="199"/>
      <c r="F492" s="199"/>
      <c r="G492" s="199"/>
      <c r="H492" s="199"/>
      <c r="I492" s="199"/>
      <c r="J492" s="128"/>
    </row>
    <row r="493" spans="1:10" x14ac:dyDescent="0.25">
      <c r="C493" s="192"/>
      <c r="D493" s="193"/>
      <c r="E493" s="193"/>
      <c r="F493" s="129"/>
      <c r="G493" s="130">
        <v>1800</v>
      </c>
      <c r="H493" s="131">
        <f>G493/G514</f>
        <v>0.43478260869565216</v>
      </c>
      <c r="I493" s="130">
        <f>G493*7%</f>
        <v>126.00000000000001</v>
      </c>
      <c r="J493" s="86">
        <f>G493*5%</f>
        <v>90</v>
      </c>
    </row>
    <row r="494" spans="1:10" x14ac:dyDescent="0.25">
      <c r="C494" s="192"/>
      <c r="D494" s="193"/>
      <c r="E494" s="193"/>
      <c r="F494" s="129"/>
      <c r="G494" s="130">
        <v>90</v>
      </c>
      <c r="H494" s="131">
        <f>G494/G514</f>
        <v>2.1739130434782608E-2</v>
      </c>
      <c r="I494" s="130">
        <f t="shared" ref="I494:I497" si="88">G494*7%</f>
        <v>6.3000000000000007</v>
      </c>
      <c r="J494" s="86">
        <f t="shared" ref="J494:J497" si="89">G494*5%</f>
        <v>4.5</v>
      </c>
    </row>
    <row r="495" spans="1:10" x14ac:dyDescent="0.25">
      <c r="C495" s="192"/>
      <c r="D495" s="193"/>
      <c r="E495" s="193"/>
      <c r="F495" s="130"/>
      <c r="G495" s="130"/>
      <c r="H495" s="131">
        <f>G495/G514</f>
        <v>0</v>
      </c>
      <c r="I495" s="130">
        <f t="shared" si="88"/>
        <v>0</v>
      </c>
      <c r="J495" s="86">
        <f t="shared" si="89"/>
        <v>0</v>
      </c>
    </row>
    <row r="496" spans="1:10" ht="14.4" thickBot="1" x14ac:dyDescent="0.3">
      <c r="C496" s="194"/>
      <c r="D496" s="195"/>
      <c r="E496" s="195"/>
      <c r="F496" s="132"/>
      <c r="G496" s="132"/>
      <c r="H496" s="133">
        <f>G496/G514</f>
        <v>0</v>
      </c>
      <c r="I496" s="132">
        <f t="shared" si="88"/>
        <v>0</v>
      </c>
      <c r="J496" s="113">
        <f t="shared" si="89"/>
        <v>0</v>
      </c>
    </row>
    <row r="497" spans="3:10" ht="14.4" thickBot="1" x14ac:dyDescent="0.3">
      <c r="C497" s="196" t="s">
        <v>82</v>
      </c>
      <c r="D497" s="197"/>
      <c r="E497" s="197"/>
      <c r="F497" s="134"/>
      <c r="G497" s="134">
        <f>SUM(G493:G496)</f>
        <v>1890</v>
      </c>
      <c r="H497" s="135">
        <f>G497/G514</f>
        <v>0.45652173913043476</v>
      </c>
      <c r="I497" s="134">
        <f t="shared" si="88"/>
        <v>132.30000000000001</v>
      </c>
      <c r="J497" s="123">
        <f t="shared" si="89"/>
        <v>94.5</v>
      </c>
    </row>
    <row r="498" spans="3:10" x14ac:dyDescent="0.25">
      <c r="C498" s="198" t="s">
        <v>75</v>
      </c>
      <c r="D498" s="199"/>
      <c r="E498" s="199"/>
      <c r="F498" s="199"/>
      <c r="G498" s="199"/>
      <c r="H498" s="199"/>
      <c r="I498" s="199"/>
      <c r="J498" s="128"/>
    </row>
    <row r="499" spans="3:10" x14ac:dyDescent="0.25">
      <c r="C499" s="192"/>
      <c r="D499" s="193"/>
      <c r="E499" s="193"/>
      <c r="F499" s="129"/>
      <c r="G499" s="130">
        <v>1800</v>
      </c>
      <c r="H499" s="131">
        <f>G499/G514</f>
        <v>0.43478260869565216</v>
      </c>
      <c r="I499" s="130">
        <f>G499*7%</f>
        <v>126.00000000000001</v>
      </c>
      <c r="J499" s="86">
        <f>G499*5%</f>
        <v>90</v>
      </c>
    </row>
    <row r="500" spans="3:10" x14ac:dyDescent="0.25">
      <c r="C500" s="192"/>
      <c r="D500" s="193"/>
      <c r="E500" s="193"/>
      <c r="F500" s="129"/>
      <c r="G500" s="130">
        <v>450</v>
      </c>
      <c r="H500" s="131">
        <f>G500/G514</f>
        <v>0.10869565217391304</v>
      </c>
      <c r="I500" s="130">
        <f t="shared" ref="I500:I514" si="90">G500*7%</f>
        <v>31.500000000000004</v>
      </c>
      <c r="J500" s="86">
        <f t="shared" ref="J500:J514" si="91">G500*5%</f>
        <v>22.5</v>
      </c>
    </row>
    <row r="501" spans="3:10" x14ac:dyDescent="0.25">
      <c r="C501" s="192"/>
      <c r="D501" s="193"/>
      <c r="E501" s="193"/>
      <c r="F501" s="130"/>
      <c r="G501" s="130"/>
      <c r="H501" s="131">
        <f>G501/G514</f>
        <v>0</v>
      </c>
      <c r="I501" s="130">
        <f t="shared" si="90"/>
        <v>0</v>
      </c>
      <c r="J501" s="86">
        <f t="shared" si="91"/>
        <v>0</v>
      </c>
    </row>
    <row r="502" spans="3:10" x14ac:dyDescent="0.25">
      <c r="C502" s="192"/>
      <c r="D502" s="193"/>
      <c r="E502" s="193"/>
      <c r="F502" s="130"/>
      <c r="G502" s="130"/>
      <c r="H502" s="131">
        <f>G502/G514</f>
        <v>0</v>
      </c>
      <c r="I502" s="130">
        <f t="shared" si="90"/>
        <v>0</v>
      </c>
      <c r="J502" s="86">
        <f t="shared" si="91"/>
        <v>0</v>
      </c>
    </row>
    <row r="503" spans="3:10" x14ac:dyDescent="0.25">
      <c r="C503" s="192"/>
      <c r="D503" s="193"/>
      <c r="E503" s="193"/>
      <c r="F503" s="130"/>
      <c r="G503" s="130"/>
      <c r="H503" s="131">
        <f>G503/G514</f>
        <v>0</v>
      </c>
      <c r="I503" s="130">
        <f t="shared" si="90"/>
        <v>0</v>
      </c>
      <c r="J503" s="86">
        <f t="shared" si="91"/>
        <v>0</v>
      </c>
    </row>
    <row r="504" spans="3:10" x14ac:dyDescent="0.25">
      <c r="C504" s="192"/>
      <c r="D504" s="193"/>
      <c r="E504" s="193"/>
      <c r="F504" s="130"/>
      <c r="G504" s="130"/>
      <c r="H504" s="131">
        <f>G504/G514</f>
        <v>0</v>
      </c>
      <c r="I504" s="130">
        <f t="shared" si="90"/>
        <v>0</v>
      </c>
      <c r="J504" s="86">
        <f t="shared" si="91"/>
        <v>0</v>
      </c>
    </row>
    <row r="505" spans="3:10" x14ac:dyDescent="0.25">
      <c r="C505" s="192"/>
      <c r="D505" s="193"/>
      <c r="E505" s="193"/>
      <c r="F505" s="130"/>
      <c r="G505" s="130"/>
      <c r="H505" s="131">
        <f>G505/G514</f>
        <v>0</v>
      </c>
      <c r="I505" s="130">
        <f t="shared" si="90"/>
        <v>0</v>
      </c>
      <c r="J505" s="86">
        <f t="shared" si="91"/>
        <v>0</v>
      </c>
    </row>
    <row r="506" spans="3:10" x14ac:dyDescent="0.25">
      <c r="C506" s="192"/>
      <c r="D506" s="193"/>
      <c r="E506" s="193"/>
      <c r="F506" s="130"/>
      <c r="G506" s="130"/>
      <c r="H506" s="131">
        <f>G506/G514</f>
        <v>0</v>
      </c>
      <c r="I506" s="130">
        <f t="shared" si="90"/>
        <v>0</v>
      </c>
      <c r="J506" s="86">
        <f t="shared" si="91"/>
        <v>0</v>
      </c>
    </row>
    <row r="507" spans="3:10" x14ac:dyDescent="0.25">
      <c r="C507" s="192"/>
      <c r="D507" s="193"/>
      <c r="E507" s="193"/>
      <c r="F507" s="130"/>
      <c r="G507" s="130"/>
      <c r="H507" s="131">
        <f>G507/G514</f>
        <v>0</v>
      </c>
      <c r="I507" s="130">
        <f t="shared" si="90"/>
        <v>0</v>
      </c>
      <c r="J507" s="86">
        <f t="shared" si="91"/>
        <v>0</v>
      </c>
    </row>
    <row r="508" spans="3:10" x14ac:dyDescent="0.25">
      <c r="C508" s="192"/>
      <c r="D508" s="193"/>
      <c r="E508" s="193"/>
      <c r="F508" s="130"/>
      <c r="G508" s="130"/>
      <c r="H508" s="131">
        <f>G508/G514</f>
        <v>0</v>
      </c>
      <c r="I508" s="130">
        <f t="shared" si="90"/>
        <v>0</v>
      </c>
      <c r="J508" s="86">
        <f t="shared" si="91"/>
        <v>0</v>
      </c>
    </row>
    <row r="509" spans="3:10" x14ac:dyDescent="0.25">
      <c r="C509" s="192"/>
      <c r="D509" s="193"/>
      <c r="E509" s="193"/>
      <c r="F509" s="130"/>
      <c r="G509" s="130"/>
      <c r="H509" s="131">
        <f>G509/G514</f>
        <v>0</v>
      </c>
      <c r="I509" s="130">
        <f t="shared" si="90"/>
        <v>0</v>
      </c>
      <c r="J509" s="86">
        <f t="shared" si="91"/>
        <v>0</v>
      </c>
    </row>
    <row r="510" spans="3:10" x14ac:dyDescent="0.25">
      <c r="C510" s="192"/>
      <c r="D510" s="193"/>
      <c r="E510" s="193"/>
      <c r="F510" s="130"/>
      <c r="G510" s="130"/>
      <c r="H510" s="131">
        <f>G510/G514</f>
        <v>0</v>
      </c>
      <c r="I510" s="130">
        <f t="shared" si="90"/>
        <v>0</v>
      </c>
      <c r="J510" s="86">
        <f t="shared" si="91"/>
        <v>0</v>
      </c>
    </row>
    <row r="511" spans="3:10" x14ac:dyDescent="0.25">
      <c r="C511" s="192"/>
      <c r="D511" s="193"/>
      <c r="E511" s="193"/>
      <c r="F511" s="130"/>
      <c r="G511" s="130"/>
      <c r="H511" s="131">
        <f>G511/G514</f>
        <v>0</v>
      </c>
      <c r="I511" s="130">
        <f t="shared" si="90"/>
        <v>0</v>
      </c>
      <c r="J511" s="86">
        <f t="shared" si="91"/>
        <v>0</v>
      </c>
    </row>
    <row r="512" spans="3:10" ht="14.4" thickBot="1" x14ac:dyDescent="0.3">
      <c r="C512" s="194"/>
      <c r="D512" s="195"/>
      <c r="E512" s="195"/>
      <c r="F512" s="132"/>
      <c r="G512" s="132"/>
      <c r="H512" s="133">
        <f>G512/G514</f>
        <v>0</v>
      </c>
      <c r="I512" s="132">
        <f t="shared" si="90"/>
        <v>0</v>
      </c>
      <c r="J512" s="113">
        <f t="shared" si="91"/>
        <v>0</v>
      </c>
    </row>
    <row r="513" spans="1:10" ht="14.4" thickBot="1" x14ac:dyDescent="0.3">
      <c r="C513" s="196" t="s">
        <v>81</v>
      </c>
      <c r="D513" s="197"/>
      <c r="E513" s="197"/>
      <c r="F513" s="134"/>
      <c r="G513" s="134">
        <f>SUM(G499:G512)</f>
        <v>2250</v>
      </c>
      <c r="H513" s="135">
        <f>G513/G514</f>
        <v>0.54347826086956519</v>
      </c>
      <c r="I513" s="134">
        <f t="shared" si="90"/>
        <v>157.50000000000003</v>
      </c>
      <c r="J513" s="123">
        <f t="shared" si="91"/>
        <v>112.5</v>
      </c>
    </row>
    <row r="514" spans="1:10" ht="14.4" thickBot="1" x14ac:dyDescent="0.3">
      <c r="C514" s="196" t="s">
        <v>7</v>
      </c>
      <c r="D514" s="197"/>
      <c r="E514" s="197"/>
      <c r="F514" s="134"/>
      <c r="G514" s="134">
        <f>G497+G513</f>
        <v>4140</v>
      </c>
      <c r="H514" s="135">
        <f>G514/G514</f>
        <v>1</v>
      </c>
      <c r="I514" s="134">
        <f t="shared" si="90"/>
        <v>289.8</v>
      </c>
      <c r="J514" s="123">
        <f t="shared" si="91"/>
        <v>207</v>
      </c>
    </row>
    <row r="515" spans="1:10" ht="16.2" thickBot="1" x14ac:dyDescent="0.35">
      <c r="C515" s="6" t="str">
        <f>G74</f>
        <v>Driveway</v>
      </c>
      <c r="E515" s="5"/>
      <c r="F515" s="5"/>
    </row>
    <row r="516" spans="1:10" ht="14.4" thickBot="1" x14ac:dyDescent="0.3">
      <c r="A516" s="63" t="s">
        <v>72</v>
      </c>
      <c r="C516" s="196" t="s">
        <v>0</v>
      </c>
      <c r="D516" s="197"/>
      <c r="E516" s="197"/>
      <c r="F516" s="125" t="s">
        <v>1</v>
      </c>
      <c r="G516" s="126" t="s">
        <v>73</v>
      </c>
      <c r="H516" s="126" t="s">
        <v>83</v>
      </c>
      <c r="I516" s="125" t="s">
        <v>3</v>
      </c>
      <c r="J516" s="127" t="s">
        <v>4</v>
      </c>
    </row>
    <row r="517" spans="1:10" x14ac:dyDescent="0.25">
      <c r="C517" s="198" t="s">
        <v>74</v>
      </c>
      <c r="D517" s="199"/>
      <c r="E517" s="199"/>
      <c r="F517" s="199"/>
      <c r="G517" s="199"/>
      <c r="H517" s="199"/>
      <c r="I517" s="199"/>
      <c r="J517" s="128"/>
    </row>
    <row r="518" spans="1:10" x14ac:dyDescent="0.25">
      <c r="C518" s="192"/>
      <c r="D518" s="193"/>
      <c r="E518" s="193"/>
      <c r="F518" s="129"/>
      <c r="G518" s="130"/>
      <c r="H518" s="131" t="e">
        <f>G518/G539</f>
        <v>#DIV/0!</v>
      </c>
      <c r="I518" s="130">
        <f>G518*7%</f>
        <v>0</v>
      </c>
      <c r="J518" s="86">
        <f>G518*5%</f>
        <v>0</v>
      </c>
    </row>
    <row r="519" spans="1:10" x14ac:dyDescent="0.25">
      <c r="C519" s="192"/>
      <c r="D519" s="193"/>
      <c r="E519" s="193"/>
      <c r="F519" s="129"/>
      <c r="G519" s="130"/>
      <c r="H519" s="131" t="e">
        <f>G519/G539</f>
        <v>#DIV/0!</v>
      </c>
      <c r="I519" s="130">
        <f t="shared" ref="I519:I522" si="92">G519*7%</f>
        <v>0</v>
      </c>
      <c r="J519" s="86">
        <f t="shared" ref="J519:J522" si="93">G519*5%</f>
        <v>0</v>
      </c>
    </row>
    <row r="520" spans="1:10" x14ac:dyDescent="0.25">
      <c r="C520" s="192"/>
      <c r="D520" s="193"/>
      <c r="E520" s="193"/>
      <c r="F520" s="130"/>
      <c r="G520" s="130"/>
      <c r="H520" s="131" t="e">
        <f>G520/G539</f>
        <v>#DIV/0!</v>
      </c>
      <c r="I520" s="130">
        <f t="shared" si="92"/>
        <v>0</v>
      </c>
      <c r="J520" s="86">
        <f t="shared" si="93"/>
        <v>0</v>
      </c>
    </row>
    <row r="521" spans="1:10" ht="14.4" thickBot="1" x14ac:dyDescent="0.3">
      <c r="C521" s="194"/>
      <c r="D521" s="195"/>
      <c r="E521" s="195"/>
      <c r="F521" s="132"/>
      <c r="G521" s="132"/>
      <c r="H521" s="133" t="e">
        <f>G521/G539</f>
        <v>#DIV/0!</v>
      </c>
      <c r="I521" s="132">
        <f t="shared" si="92"/>
        <v>0</v>
      </c>
      <c r="J521" s="113">
        <f t="shared" si="93"/>
        <v>0</v>
      </c>
    </row>
    <row r="522" spans="1:10" ht="14.4" thickBot="1" x14ac:dyDescent="0.3">
      <c r="C522" s="196" t="s">
        <v>82</v>
      </c>
      <c r="D522" s="197"/>
      <c r="E522" s="197"/>
      <c r="F522" s="134"/>
      <c r="G522" s="134">
        <f>SUM(G518:G521)</f>
        <v>0</v>
      </c>
      <c r="H522" s="135" t="e">
        <f>G522/G539</f>
        <v>#DIV/0!</v>
      </c>
      <c r="I522" s="134">
        <f t="shared" si="92"/>
        <v>0</v>
      </c>
      <c r="J522" s="123">
        <f t="shared" si="93"/>
        <v>0</v>
      </c>
    </row>
    <row r="523" spans="1:10" x14ac:dyDescent="0.25">
      <c r="C523" s="198" t="s">
        <v>75</v>
      </c>
      <c r="D523" s="199"/>
      <c r="E523" s="199"/>
      <c r="F523" s="199"/>
      <c r="G523" s="199"/>
      <c r="H523" s="199"/>
      <c r="I523" s="199"/>
      <c r="J523" s="128"/>
    </row>
    <row r="524" spans="1:10" x14ac:dyDescent="0.25">
      <c r="C524" s="192"/>
      <c r="D524" s="193"/>
      <c r="E524" s="193"/>
      <c r="F524" s="129"/>
      <c r="G524" s="130"/>
      <c r="H524" s="131" t="e">
        <f>G524/G539</f>
        <v>#DIV/0!</v>
      </c>
      <c r="I524" s="130">
        <f>G524*7%</f>
        <v>0</v>
      </c>
      <c r="J524" s="86">
        <f>G524*5%</f>
        <v>0</v>
      </c>
    </row>
    <row r="525" spans="1:10" x14ac:dyDescent="0.25">
      <c r="C525" s="192"/>
      <c r="D525" s="193"/>
      <c r="E525" s="193"/>
      <c r="F525" s="129"/>
      <c r="G525" s="130"/>
      <c r="H525" s="131" t="e">
        <f>G525/G539</f>
        <v>#DIV/0!</v>
      </c>
      <c r="I525" s="130">
        <f t="shared" ref="I525:I539" si="94">G525*7%</f>
        <v>0</v>
      </c>
      <c r="J525" s="86">
        <f t="shared" ref="J525:J539" si="95">G525*5%</f>
        <v>0</v>
      </c>
    </row>
    <row r="526" spans="1:10" x14ac:dyDescent="0.25">
      <c r="C526" s="192"/>
      <c r="D526" s="193"/>
      <c r="E526" s="193"/>
      <c r="F526" s="130"/>
      <c r="G526" s="130"/>
      <c r="H526" s="131" t="e">
        <f>G526/G539</f>
        <v>#DIV/0!</v>
      </c>
      <c r="I526" s="130">
        <f t="shared" si="94"/>
        <v>0</v>
      </c>
      <c r="J526" s="86">
        <f t="shared" si="95"/>
        <v>0</v>
      </c>
    </row>
    <row r="527" spans="1:10" x14ac:dyDescent="0.25">
      <c r="C527" s="192"/>
      <c r="D527" s="193"/>
      <c r="E527" s="193"/>
      <c r="F527" s="130"/>
      <c r="G527" s="130"/>
      <c r="H527" s="131" t="e">
        <f>G527/G539</f>
        <v>#DIV/0!</v>
      </c>
      <c r="I527" s="130">
        <f t="shared" si="94"/>
        <v>0</v>
      </c>
      <c r="J527" s="86">
        <f t="shared" si="95"/>
        <v>0</v>
      </c>
    </row>
    <row r="528" spans="1:10" x14ac:dyDescent="0.25">
      <c r="C528" s="192"/>
      <c r="D528" s="193"/>
      <c r="E528" s="193"/>
      <c r="F528" s="130"/>
      <c r="G528" s="130"/>
      <c r="H528" s="131" t="e">
        <f>G528/G539</f>
        <v>#DIV/0!</v>
      </c>
      <c r="I528" s="130">
        <f t="shared" si="94"/>
        <v>0</v>
      </c>
      <c r="J528" s="86">
        <f t="shared" si="95"/>
        <v>0</v>
      </c>
    </row>
    <row r="529" spans="1:10" x14ac:dyDescent="0.25">
      <c r="C529" s="192"/>
      <c r="D529" s="193"/>
      <c r="E529" s="193"/>
      <c r="F529" s="130"/>
      <c r="G529" s="130"/>
      <c r="H529" s="131" t="e">
        <f>G529/G539</f>
        <v>#DIV/0!</v>
      </c>
      <c r="I529" s="130">
        <f t="shared" si="94"/>
        <v>0</v>
      </c>
      <c r="J529" s="86">
        <f t="shared" si="95"/>
        <v>0</v>
      </c>
    </row>
    <row r="530" spans="1:10" x14ac:dyDescent="0.25">
      <c r="C530" s="192"/>
      <c r="D530" s="193"/>
      <c r="E530" s="193"/>
      <c r="F530" s="130"/>
      <c r="G530" s="130"/>
      <c r="H530" s="131" t="e">
        <f>G530/G539</f>
        <v>#DIV/0!</v>
      </c>
      <c r="I530" s="130">
        <f t="shared" si="94"/>
        <v>0</v>
      </c>
      <c r="J530" s="86">
        <f t="shared" si="95"/>
        <v>0</v>
      </c>
    </row>
    <row r="531" spans="1:10" x14ac:dyDescent="0.25">
      <c r="C531" s="192"/>
      <c r="D531" s="193"/>
      <c r="E531" s="193"/>
      <c r="F531" s="130"/>
      <c r="G531" s="130"/>
      <c r="H531" s="131" t="e">
        <f>G531/G539</f>
        <v>#DIV/0!</v>
      </c>
      <c r="I531" s="130">
        <f t="shared" si="94"/>
        <v>0</v>
      </c>
      <c r="J531" s="86">
        <f t="shared" si="95"/>
        <v>0</v>
      </c>
    </row>
    <row r="532" spans="1:10" x14ac:dyDescent="0.25">
      <c r="C532" s="192"/>
      <c r="D532" s="193"/>
      <c r="E532" s="193"/>
      <c r="F532" s="130"/>
      <c r="G532" s="130"/>
      <c r="H532" s="131" t="e">
        <f>G532/G539</f>
        <v>#DIV/0!</v>
      </c>
      <c r="I532" s="130">
        <f t="shared" si="94"/>
        <v>0</v>
      </c>
      <c r="J532" s="86">
        <f t="shared" si="95"/>
        <v>0</v>
      </c>
    </row>
    <row r="533" spans="1:10" x14ac:dyDescent="0.25">
      <c r="C533" s="192"/>
      <c r="D533" s="193"/>
      <c r="E533" s="193"/>
      <c r="F533" s="130"/>
      <c r="G533" s="130"/>
      <c r="H533" s="131" t="e">
        <f>G533/G539</f>
        <v>#DIV/0!</v>
      </c>
      <c r="I533" s="130">
        <f t="shared" si="94"/>
        <v>0</v>
      </c>
      <c r="J533" s="86">
        <f t="shared" si="95"/>
        <v>0</v>
      </c>
    </row>
    <row r="534" spans="1:10" x14ac:dyDescent="0.25">
      <c r="C534" s="192"/>
      <c r="D534" s="193"/>
      <c r="E534" s="193"/>
      <c r="F534" s="130"/>
      <c r="G534" s="130"/>
      <c r="H534" s="131" t="e">
        <f>G534/G539</f>
        <v>#DIV/0!</v>
      </c>
      <c r="I534" s="130">
        <f t="shared" si="94"/>
        <v>0</v>
      </c>
      <c r="J534" s="86">
        <f t="shared" si="95"/>
        <v>0</v>
      </c>
    </row>
    <row r="535" spans="1:10" x14ac:dyDescent="0.25">
      <c r="C535" s="192"/>
      <c r="D535" s="193"/>
      <c r="E535" s="193"/>
      <c r="F535" s="130"/>
      <c r="G535" s="130"/>
      <c r="H535" s="131" t="e">
        <f>G535/G539</f>
        <v>#DIV/0!</v>
      </c>
      <c r="I535" s="130">
        <f t="shared" si="94"/>
        <v>0</v>
      </c>
      <c r="J535" s="86">
        <f t="shared" si="95"/>
        <v>0</v>
      </c>
    </row>
    <row r="536" spans="1:10" x14ac:dyDescent="0.25">
      <c r="C536" s="192"/>
      <c r="D536" s="193"/>
      <c r="E536" s="193"/>
      <c r="F536" s="130"/>
      <c r="G536" s="130"/>
      <c r="H536" s="131" t="e">
        <f>G536/G539</f>
        <v>#DIV/0!</v>
      </c>
      <c r="I536" s="130">
        <f t="shared" si="94"/>
        <v>0</v>
      </c>
      <c r="J536" s="86">
        <f t="shared" si="95"/>
        <v>0</v>
      </c>
    </row>
    <row r="537" spans="1:10" ht="14.4" thickBot="1" x14ac:dyDescent="0.3">
      <c r="C537" s="194"/>
      <c r="D537" s="195"/>
      <c r="E537" s="195"/>
      <c r="F537" s="132"/>
      <c r="G537" s="132"/>
      <c r="H537" s="133" t="e">
        <f>G537/G539</f>
        <v>#DIV/0!</v>
      </c>
      <c r="I537" s="132">
        <f t="shared" si="94"/>
        <v>0</v>
      </c>
      <c r="J537" s="113">
        <f t="shared" si="95"/>
        <v>0</v>
      </c>
    </row>
    <row r="538" spans="1:10" ht="14.4" thickBot="1" x14ac:dyDescent="0.3">
      <c r="C538" s="196" t="s">
        <v>81</v>
      </c>
      <c r="D538" s="197"/>
      <c r="E538" s="197"/>
      <c r="F538" s="134"/>
      <c r="G538" s="134">
        <f>SUM(G524:G537)</f>
        <v>0</v>
      </c>
      <c r="H538" s="135" t="e">
        <f>G538/G539</f>
        <v>#DIV/0!</v>
      </c>
      <c r="I538" s="134">
        <f t="shared" si="94"/>
        <v>0</v>
      </c>
      <c r="J538" s="123">
        <f t="shared" si="95"/>
        <v>0</v>
      </c>
    </row>
    <row r="539" spans="1:10" ht="14.4" thickBot="1" x14ac:dyDescent="0.3">
      <c r="C539" s="196" t="s">
        <v>7</v>
      </c>
      <c r="D539" s="197"/>
      <c r="E539" s="197"/>
      <c r="F539" s="134"/>
      <c r="G539" s="134">
        <f>G522+G538</f>
        <v>0</v>
      </c>
      <c r="H539" s="135" t="e">
        <f>G539/G539</f>
        <v>#DIV/0!</v>
      </c>
      <c r="I539" s="134">
        <f t="shared" si="94"/>
        <v>0</v>
      </c>
      <c r="J539" s="123">
        <f t="shared" si="95"/>
        <v>0</v>
      </c>
    </row>
    <row r="540" spans="1:10" ht="16.2" thickBot="1" x14ac:dyDescent="0.35">
      <c r="C540" s="6" t="str">
        <f>G75</f>
        <v>Roofing</v>
      </c>
      <c r="E540" s="5"/>
      <c r="F540" s="5"/>
    </row>
    <row r="541" spans="1:10" ht="14.4" thickBot="1" x14ac:dyDescent="0.3">
      <c r="A541" s="63" t="s">
        <v>72</v>
      </c>
      <c r="C541" s="196" t="s">
        <v>0</v>
      </c>
      <c r="D541" s="197"/>
      <c r="E541" s="197"/>
      <c r="F541" s="125" t="s">
        <v>1</v>
      </c>
      <c r="G541" s="126" t="s">
        <v>73</v>
      </c>
      <c r="H541" s="126" t="s">
        <v>83</v>
      </c>
      <c r="I541" s="125" t="s">
        <v>3</v>
      </c>
      <c r="J541" s="127" t="s">
        <v>4</v>
      </c>
    </row>
    <row r="542" spans="1:10" x14ac:dyDescent="0.25">
      <c r="C542" s="198" t="s">
        <v>74</v>
      </c>
      <c r="D542" s="199"/>
      <c r="E542" s="199"/>
      <c r="F542" s="199"/>
      <c r="G542" s="199"/>
      <c r="H542" s="199"/>
      <c r="I542" s="199"/>
      <c r="J542" s="128"/>
    </row>
    <row r="543" spans="1:10" x14ac:dyDescent="0.25">
      <c r="C543" s="192"/>
      <c r="D543" s="193"/>
      <c r="E543" s="193"/>
      <c r="F543" s="129"/>
      <c r="G543" s="130">
        <v>1000</v>
      </c>
      <c r="H543" s="131">
        <f>G543/G564</f>
        <v>0.48661800486618007</v>
      </c>
      <c r="I543" s="130">
        <f>G543*7%</f>
        <v>70</v>
      </c>
      <c r="J543" s="86">
        <f>G543*5%</f>
        <v>50</v>
      </c>
    </row>
    <row r="544" spans="1:10" x14ac:dyDescent="0.25">
      <c r="C544" s="192"/>
      <c r="D544" s="193"/>
      <c r="E544" s="193"/>
      <c r="F544" s="129"/>
      <c r="G544" s="130"/>
      <c r="H544" s="131">
        <f>G544/G564</f>
        <v>0</v>
      </c>
      <c r="I544" s="130">
        <f t="shared" ref="I544:I547" si="96">G544*7%</f>
        <v>0</v>
      </c>
      <c r="J544" s="86">
        <f t="shared" ref="J544:J547" si="97">G544*5%</f>
        <v>0</v>
      </c>
    </row>
    <row r="545" spans="3:10" x14ac:dyDescent="0.25">
      <c r="C545" s="192"/>
      <c r="D545" s="193"/>
      <c r="E545" s="193"/>
      <c r="F545" s="130"/>
      <c r="G545" s="130"/>
      <c r="H545" s="131">
        <f>G545/G564</f>
        <v>0</v>
      </c>
      <c r="I545" s="130">
        <f t="shared" si="96"/>
        <v>0</v>
      </c>
      <c r="J545" s="86">
        <f t="shared" si="97"/>
        <v>0</v>
      </c>
    </row>
    <row r="546" spans="3:10" ht="14.4" thickBot="1" x14ac:dyDescent="0.3">
      <c r="C546" s="194"/>
      <c r="D546" s="195"/>
      <c r="E546" s="195"/>
      <c r="F546" s="132"/>
      <c r="G546" s="132"/>
      <c r="H546" s="133">
        <f>G546/G564</f>
        <v>0</v>
      </c>
      <c r="I546" s="132">
        <f t="shared" si="96"/>
        <v>0</v>
      </c>
      <c r="J546" s="113">
        <f t="shared" si="97"/>
        <v>0</v>
      </c>
    </row>
    <row r="547" spans="3:10" ht="14.4" thickBot="1" x14ac:dyDescent="0.3">
      <c r="C547" s="196" t="s">
        <v>82</v>
      </c>
      <c r="D547" s="197"/>
      <c r="E547" s="197"/>
      <c r="F547" s="134"/>
      <c r="G547" s="134">
        <f>SUM(G543:G546)</f>
        <v>1000</v>
      </c>
      <c r="H547" s="135">
        <f>G547/G564</f>
        <v>0.48661800486618007</v>
      </c>
      <c r="I547" s="134">
        <f t="shared" si="96"/>
        <v>70</v>
      </c>
      <c r="J547" s="123">
        <f t="shared" si="97"/>
        <v>50</v>
      </c>
    </row>
    <row r="548" spans="3:10" x14ac:dyDescent="0.25">
      <c r="C548" s="198" t="s">
        <v>75</v>
      </c>
      <c r="D548" s="199"/>
      <c r="E548" s="199"/>
      <c r="F548" s="199"/>
      <c r="G548" s="199"/>
      <c r="H548" s="199"/>
      <c r="I548" s="199"/>
      <c r="J548" s="128"/>
    </row>
    <row r="549" spans="3:10" x14ac:dyDescent="0.25">
      <c r="C549" s="192"/>
      <c r="D549" s="193"/>
      <c r="E549" s="193"/>
      <c r="F549" s="129"/>
      <c r="G549" s="130">
        <v>1000</v>
      </c>
      <c r="H549" s="131">
        <f>G549/G564</f>
        <v>0.48661800486618007</v>
      </c>
      <c r="I549" s="130">
        <f>G549*7%</f>
        <v>70</v>
      </c>
      <c r="J549" s="86">
        <f>G549*5%</f>
        <v>50</v>
      </c>
    </row>
    <row r="550" spans="3:10" x14ac:dyDescent="0.25">
      <c r="C550" s="192"/>
      <c r="D550" s="193"/>
      <c r="E550" s="193"/>
      <c r="F550" s="129"/>
      <c r="G550" s="130">
        <v>55</v>
      </c>
      <c r="H550" s="131">
        <f>G550/G564</f>
        <v>2.6763990267639901E-2</v>
      </c>
      <c r="I550" s="130">
        <f t="shared" ref="I550:I564" si="98">G550*7%</f>
        <v>3.8500000000000005</v>
      </c>
      <c r="J550" s="86">
        <f t="shared" ref="J550:J564" si="99">G550*5%</f>
        <v>2.75</v>
      </c>
    </row>
    <row r="551" spans="3:10" x14ac:dyDescent="0.25">
      <c r="C551" s="192"/>
      <c r="D551" s="193"/>
      <c r="E551" s="193"/>
      <c r="F551" s="130"/>
      <c r="G551" s="130"/>
      <c r="H551" s="131">
        <f>G551/G564</f>
        <v>0</v>
      </c>
      <c r="I551" s="130">
        <f t="shared" si="98"/>
        <v>0</v>
      </c>
      <c r="J551" s="86">
        <f t="shared" si="99"/>
        <v>0</v>
      </c>
    </row>
    <row r="552" spans="3:10" x14ac:dyDescent="0.25">
      <c r="C552" s="192"/>
      <c r="D552" s="193"/>
      <c r="E552" s="193"/>
      <c r="F552" s="130"/>
      <c r="G552" s="130"/>
      <c r="H552" s="131">
        <f>G552/G564</f>
        <v>0</v>
      </c>
      <c r="I552" s="130">
        <f t="shared" si="98"/>
        <v>0</v>
      </c>
      <c r="J552" s="86">
        <f t="shared" si="99"/>
        <v>0</v>
      </c>
    </row>
    <row r="553" spans="3:10" x14ac:dyDescent="0.25">
      <c r="C553" s="192"/>
      <c r="D553" s="193"/>
      <c r="E553" s="193"/>
      <c r="F553" s="130"/>
      <c r="G553" s="130"/>
      <c r="H553" s="131">
        <f>G553/G564</f>
        <v>0</v>
      </c>
      <c r="I553" s="130">
        <f t="shared" si="98"/>
        <v>0</v>
      </c>
      <c r="J553" s="86">
        <f t="shared" si="99"/>
        <v>0</v>
      </c>
    </row>
    <row r="554" spans="3:10" x14ac:dyDescent="0.25">
      <c r="C554" s="192"/>
      <c r="D554" s="193"/>
      <c r="E554" s="193"/>
      <c r="F554" s="130"/>
      <c r="G554" s="130"/>
      <c r="H554" s="131">
        <f>G554/G564</f>
        <v>0</v>
      </c>
      <c r="I554" s="130">
        <f t="shared" si="98"/>
        <v>0</v>
      </c>
      <c r="J554" s="86">
        <f t="shared" si="99"/>
        <v>0</v>
      </c>
    </row>
    <row r="555" spans="3:10" x14ac:dyDescent="0.25">
      <c r="C555" s="192"/>
      <c r="D555" s="193"/>
      <c r="E555" s="193"/>
      <c r="F555" s="130"/>
      <c r="G555" s="130"/>
      <c r="H555" s="131">
        <f>G555/G564</f>
        <v>0</v>
      </c>
      <c r="I555" s="130">
        <f t="shared" si="98"/>
        <v>0</v>
      </c>
      <c r="J555" s="86">
        <f t="shared" si="99"/>
        <v>0</v>
      </c>
    </row>
    <row r="556" spans="3:10" x14ac:dyDescent="0.25">
      <c r="C556" s="192"/>
      <c r="D556" s="193"/>
      <c r="E556" s="193"/>
      <c r="F556" s="130"/>
      <c r="G556" s="130"/>
      <c r="H556" s="131">
        <f>G556/G564</f>
        <v>0</v>
      </c>
      <c r="I556" s="130">
        <f t="shared" si="98"/>
        <v>0</v>
      </c>
      <c r="J556" s="86">
        <f t="shared" si="99"/>
        <v>0</v>
      </c>
    </row>
    <row r="557" spans="3:10" x14ac:dyDescent="0.25">
      <c r="C557" s="192"/>
      <c r="D557" s="193"/>
      <c r="E557" s="193"/>
      <c r="F557" s="130"/>
      <c r="G557" s="130"/>
      <c r="H557" s="131">
        <f>G557/G564</f>
        <v>0</v>
      </c>
      <c r="I557" s="130">
        <f t="shared" si="98"/>
        <v>0</v>
      </c>
      <c r="J557" s="86">
        <f t="shared" si="99"/>
        <v>0</v>
      </c>
    </row>
    <row r="558" spans="3:10" x14ac:dyDescent="0.25">
      <c r="C558" s="192"/>
      <c r="D558" s="193"/>
      <c r="E558" s="193"/>
      <c r="F558" s="130"/>
      <c r="G558" s="130"/>
      <c r="H558" s="131">
        <f>G558/G564</f>
        <v>0</v>
      </c>
      <c r="I558" s="130">
        <f t="shared" si="98"/>
        <v>0</v>
      </c>
      <c r="J558" s="86">
        <f t="shared" si="99"/>
        <v>0</v>
      </c>
    </row>
    <row r="559" spans="3:10" x14ac:dyDescent="0.25">
      <c r="C559" s="192"/>
      <c r="D559" s="193"/>
      <c r="E559" s="193"/>
      <c r="F559" s="130"/>
      <c r="G559" s="130"/>
      <c r="H559" s="131">
        <f>G559/G564</f>
        <v>0</v>
      </c>
      <c r="I559" s="130">
        <f t="shared" si="98"/>
        <v>0</v>
      </c>
      <c r="J559" s="86">
        <f t="shared" si="99"/>
        <v>0</v>
      </c>
    </row>
    <row r="560" spans="3:10" x14ac:dyDescent="0.25">
      <c r="C560" s="192"/>
      <c r="D560" s="193"/>
      <c r="E560" s="193"/>
      <c r="F560" s="130"/>
      <c r="G560" s="130"/>
      <c r="H560" s="131">
        <f>G560/G564</f>
        <v>0</v>
      </c>
      <c r="I560" s="130">
        <f t="shared" si="98"/>
        <v>0</v>
      </c>
      <c r="J560" s="86">
        <f t="shared" si="99"/>
        <v>0</v>
      </c>
    </row>
    <row r="561" spans="3:10" x14ac:dyDescent="0.25">
      <c r="C561" s="192"/>
      <c r="D561" s="193"/>
      <c r="E561" s="193"/>
      <c r="F561" s="130"/>
      <c r="G561" s="130"/>
      <c r="H561" s="131">
        <f>G561/G564</f>
        <v>0</v>
      </c>
      <c r="I561" s="130">
        <f t="shared" si="98"/>
        <v>0</v>
      </c>
      <c r="J561" s="86">
        <f t="shared" si="99"/>
        <v>0</v>
      </c>
    </row>
    <row r="562" spans="3:10" ht="14.4" thickBot="1" x14ac:dyDescent="0.3">
      <c r="C562" s="194"/>
      <c r="D562" s="195"/>
      <c r="E562" s="195"/>
      <c r="F562" s="132"/>
      <c r="G562" s="132"/>
      <c r="H562" s="133">
        <f>G562/G564</f>
        <v>0</v>
      </c>
      <c r="I562" s="132">
        <f t="shared" si="98"/>
        <v>0</v>
      </c>
      <c r="J562" s="113">
        <f t="shared" si="99"/>
        <v>0</v>
      </c>
    </row>
    <row r="563" spans="3:10" ht="14.4" thickBot="1" x14ac:dyDescent="0.3">
      <c r="C563" s="196" t="s">
        <v>81</v>
      </c>
      <c r="D563" s="197"/>
      <c r="E563" s="197"/>
      <c r="F563" s="134"/>
      <c r="G563" s="134">
        <f>SUM(G549:G562)</f>
        <v>1055</v>
      </c>
      <c r="H563" s="135">
        <f>G563/G564</f>
        <v>0.51338199513381999</v>
      </c>
      <c r="I563" s="134">
        <f t="shared" si="98"/>
        <v>73.850000000000009</v>
      </c>
      <c r="J563" s="123">
        <f t="shared" si="99"/>
        <v>52.75</v>
      </c>
    </row>
    <row r="564" spans="3:10" ht="14.4" thickBot="1" x14ac:dyDescent="0.3">
      <c r="C564" s="196" t="s">
        <v>7</v>
      </c>
      <c r="D564" s="197"/>
      <c r="E564" s="197"/>
      <c r="F564" s="134"/>
      <c r="G564" s="134">
        <f>G547+G563</f>
        <v>2055</v>
      </c>
      <c r="H564" s="135">
        <f>G564/G564</f>
        <v>1</v>
      </c>
      <c r="I564" s="134">
        <f t="shared" si="98"/>
        <v>143.85000000000002</v>
      </c>
      <c r="J564" s="123">
        <f t="shared" si="99"/>
        <v>102.75</v>
      </c>
    </row>
  </sheetData>
  <mergeCells count="454">
    <mergeCell ref="A50:B50"/>
    <mergeCell ref="L50:M50"/>
    <mergeCell ref="A51:B51"/>
    <mergeCell ref="L51:M51"/>
    <mergeCell ref="A52:B52"/>
    <mergeCell ref="L52:M52"/>
    <mergeCell ref="D3:E3"/>
    <mergeCell ref="K3:L3"/>
    <mergeCell ref="A48:B48"/>
    <mergeCell ref="L48:M48"/>
    <mergeCell ref="A49:B49"/>
    <mergeCell ref="L49:M49"/>
    <mergeCell ref="A56:B56"/>
    <mergeCell ref="L56:M56"/>
    <mergeCell ref="G57:J57"/>
    <mergeCell ref="G76:J76"/>
    <mergeCell ref="C116:E116"/>
    <mergeCell ref="C117:I117"/>
    <mergeCell ref="A53:B53"/>
    <mergeCell ref="L53:M53"/>
    <mergeCell ref="A54:B54"/>
    <mergeCell ref="L54:M54"/>
    <mergeCell ref="A55:B55"/>
    <mergeCell ref="L55:M55"/>
    <mergeCell ref="C124:E124"/>
    <mergeCell ref="C125:E125"/>
    <mergeCell ref="C126:E126"/>
    <mergeCell ref="C127:E127"/>
    <mergeCell ref="C128:E128"/>
    <mergeCell ref="C129:E129"/>
    <mergeCell ref="C118:E118"/>
    <mergeCell ref="C119:E119"/>
    <mergeCell ref="C120:E120"/>
    <mergeCell ref="C121:E121"/>
    <mergeCell ref="C122:E122"/>
    <mergeCell ref="C123:I123"/>
    <mergeCell ref="C136:E136"/>
    <mergeCell ref="C137:E137"/>
    <mergeCell ref="C138:E138"/>
    <mergeCell ref="C139:E139"/>
    <mergeCell ref="C141:E141"/>
    <mergeCell ref="C142:I142"/>
    <mergeCell ref="C130:E130"/>
    <mergeCell ref="C131:E131"/>
    <mergeCell ref="C132:E132"/>
    <mergeCell ref="C133:E133"/>
    <mergeCell ref="C134:E134"/>
    <mergeCell ref="C135:E135"/>
    <mergeCell ref="C149:E149"/>
    <mergeCell ref="C150:E150"/>
    <mergeCell ref="C151:E151"/>
    <mergeCell ref="C152:E152"/>
    <mergeCell ref="C153:E153"/>
    <mergeCell ref="C154:E154"/>
    <mergeCell ref="C143:E143"/>
    <mergeCell ref="C144:E144"/>
    <mergeCell ref="C145:E145"/>
    <mergeCell ref="C146:E146"/>
    <mergeCell ref="C147:E147"/>
    <mergeCell ref="C148:I148"/>
    <mergeCell ref="C161:E161"/>
    <mergeCell ref="C162:E162"/>
    <mergeCell ref="C163:E163"/>
    <mergeCell ref="C164:E164"/>
    <mergeCell ref="C166:E166"/>
    <mergeCell ref="C167:I167"/>
    <mergeCell ref="C155:E155"/>
    <mergeCell ref="C156:E156"/>
    <mergeCell ref="C157:E157"/>
    <mergeCell ref="C158:E158"/>
    <mergeCell ref="C159:E159"/>
    <mergeCell ref="C160:E160"/>
    <mergeCell ref="C174:E174"/>
    <mergeCell ref="C175:E175"/>
    <mergeCell ref="C176:E176"/>
    <mergeCell ref="C177:E177"/>
    <mergeCell ref="C178:E178"/>
    <mergeCell ref="C179:E179"/>
    <mergeCell ref="C168:E168"/>
    <mergeCell ref="C169:E169"/>
    <mergeCell ref="C170:E170"/>
    <mergeCell ref="C171:E171"/>
    <mergeCell ref="C172:E172"/>
    <mergeCell ref="C173:I173"/>
    <mergeCell ref="C186:E186"/>
    <mergeCell ref="C187:E187"/>
    <mergeCell ref="C188:E188"/>
    <mergeCell ref="C189:E189"/>
    <mergeCell ref="C191:E191"/>
    <mergeCell ref="C192:I192"/>
    <mergeCell ref="C180:E180"/>
    <mergeCell ref="C181:E181"/>
    <mergeCell ref="C182:E182"/>
    <mergeCell ref="C183:E183"/>
    <mergeCell ref="C184:E184"/>
    <mergeCell ref="C185:E185"/>
    <mergeCell ref="C199:E199"/>
    <mergeCell ref="C200:E200"/>
    <mergeCell ref="C201:E201"/>
    <mergeCell ref="C202:E202"/>
    <mergeCell ref="C203:E203"/>
    <mergeCell ref="C204:E204"/>
    <mergeCell ref="C193:E193"/>
    <mergeCell ref="C194:E194"/>
    <mergeCell ref="C195:E195"/>
    <mergeCell ref="C196:E196"/>
    <mergeCell ref="C197:E197"/>
    <mergeCell ref="C198:I198"/>
    <mergeCell ref="C211:E211"/>
    <mergeCell ref="C212:E212"/>
    <mergeCell ref="C213:E213"/>
    <mergeCell ref="C214:E214"/>
    <mergeCell ref="C216:E216"/>
    <mergeCell ref="C217:I217"/>
    <mergeCell ref="C205:E205"/>
    <mergeCell ref="C206:E206"/>
    <mergeCell ref="C207:E207"/>
    <mergeCell ref="C208:E208"/>
    <mergeCell ref="C209:E209"/>
    <mergeCell ref="C210:E210"/>
    <mergeCell ref="C224:E224"/>
    <mergeCell ref="C225:E225"/>
    <mergeCell ref="C226:E226"/>
    <mergeCell ref="C227:E227"/>
    <mergeCell ref="C228:E228"/>
    <mergeCell ref="C229:E229"/>
    <mergeCell ref="C218:E218"/>
    <mergeCell ref="C219:E219"/>
    <mergeCell ref="C220:E220"/>
    <mergeCell ref="C221:E221"/>
    <mergeCell ref="C222:E222"/>
    <mergeCell ref="C223:I223"/>
    <mergeCell ref="C236:E236"/>
    <mergeCell ref="C237:E237"/>
    <mergeCell ref="C238:E238"/>
    <mergeCell ref="C239:E239"/>
    <mergeCell ref="C241:E241"/>
    <mergeCell ref="C242:I242"/>
    <mergeCell ref="C230:E230"/>
    <mergeCell ref="C231:E231"/>
    <mergeCell ref="C232:E232"/>
    <mergeCell ref="C233:E233"/>
    <mergeCell ref="C234:E234"/>
    <mergeCell ref="C235:E235"/>
    <mergeCell ref="C249:E249"/>
    <mergeCell ref="C250:E250"/>
    <mergeCell ref="C251:E251"/>
    <mergeCell ref="C252:E252"/>
    <mergeCell ref="C253:E253"/>
    <mergeCell ref="C254:E254"/>
    <mergeCell ref="C243:E243"/>
    <mergeCell ref="C244:E244"/>
    <mergeCell ref="C245:E245"/>
    <mergeCell ref="C246:E246"/>
    <mergeCell ref="C247:E247"/>
    <mergeCell ref="C248:I248"/>
    <mergeCell ref="C261:E261"/>
    <mergeCell ref="C262:E262"/>
    <mergeCell ref="C263:E263"/>
    <mergeCell ref="C264:E264"/>
    <mergeCell ref="C266:E266"/>
    <mergeCell ref="C267:I267"/>
    <mergeCell ref="C255:E255"/>
    <mergeCell ref="C256:E256"/>
    <mergeCell ref="C257:E257"/>
    <mergeCell ref="C258:E258"/>
    <mergeCell ref="C259:E259"/>
    <mergeCell ref="C260:E260"/>
    <mergeCell ref="C274:E274"/>
    <mergeCell ref="C275:E275"/>
    <mergeCell ref="C276:E276"/>
    <mergeCell ref="C277:E277"/>
    <mergeCell ref="C278:E278"/>
    <mergeCell ref="C279:E279"/>
    <mergeCell ref="C268:E268"/>
    <mergeCell ref="C269:E269"/>
    <mergeCell ref="C270:E270"/>
    <mergeCell ref="C271:E271"/>
    <mergeCell ref="C272:E272"/>
    <mergeCell ref="C273:I273"/>
    <mergeCell ref="C286:E286"/>
    <mergeCell ref="C287:E287"/>
    <mergeCell ref="C288:E288"/>
    <mergeCell ref="C289:E289"/>
    <mergeCell ref="C291:E291"/>
    <mergeCell ref="C292:I292"/>
    <mergeCell ref="C280:E280"/>
    <mergeCell ref="C281:E281"/>
    <mergeCell ref="C282:E282"/>
    <mergeCell ref="C283:E283"/>
    <mergeCell ref="C284:E284"/>
    <mergeCell ref="C285:E285"/>
    <mergeCell ref="C299:E299"/>
    <mergeCell ref="C300:E300"/>
    <mergeCell ref="C301:E301"/>
    <mergeCell ref="C302:E302"/>
    <mergeCell ref="C303:E303"/>
    <mergeCell ref="C304:E304"/>
    <mergeCell ref="C293:E293"/>
    <mergeCell ref="C294:E294"/>
    <mergeCell ref="C295:E295"/>
    <mergeCell ref="C296:E296"/>
    <mergeCell ref="C297:E297"/>
    <mergeCell ref="C298:I298"/>
    <mergeCell ref="C311:E311"/>
    <mergeCell ref="C312:E312"/>
    <mergeCell ref="C313:E313"/>
    <mergeCell ref="C314:E314"/>
    <mergeCell ref="C316:E316"/>
    <mergeCell ref="C317:I317"/>
    <mergeCell ref="C305:E305"/>
    <mergeCell ref="C306:E306"/>
    <mergeCell ref="C307:E307"/>
    <mergeCell ref="C308:E308"/>
    <mergeCell ref="C309:E309"/>
    <mergeCell ref="C310:E310"/>
    <mergeCell ref="C324:E324"/>
    <mergeCell ref="C325:E325"/>
    <mergeCell ref="C326:E326"/>
    <mergeCell ref="C327:E327"/>
    <mergeCell ref="C328:E328"/>
    <mergeCell ref="C329:E329"/>
    <mergeCell ref="C318:E318"/>
    <mergeCell ref="C319:E319"/>
    <mergeCell ref="C320:E320"/>
    <mergeCell ref="C321:E321"/>
    <mergeCell ref="C322:E322"/>
    <mergeCell ref="C323:I323"/>
    <mergeCell ref="C336:E336"/>
    <mergeCell ref="C337:E337"/>
    <mergeCell ref="C338:E338"/>
    <mergeCell ref="C339:E339"/>
    <mergeCell ref="C341:E341"/>
    <mergeCell ref="C342:I342"/>
    <mergeCell ref="C330:E330"/>
    <mergeCell ref="C331:E331"/>
    <mergeCell ref="C332:E332"/>
    <mergeCell ref="C333:E333"/>
    <mergeCell ref="C334:E334"/>
    <mergeCell ref="C335:E335"/>
    <mergeCell ref="C349:E349"/>
    <mergeCell ref="C350:E350"/>
    <mergeCell ref="C351:E351"/>
    <mergeCell ref="C352:E352"/>
    <mergeCell ref="C353:E353"/>
    <mergeCell ref="C354:E354"/>
    <mergeCell ref="C343:E343"/>
    <mergeCell ref="C344:E344"/>
    <mergeCell ref="C345:E345"/>
    <mergeCell ref="C346:E346"/>
    <mergeCell ref="C347:E347"/>
    <mergeCell ref="C348:I348"/>
    <mergeCell ref="C361:E361"/>
    <mergeCell ref="C362:E362"/>
    <mergeCell ref="C363:E363"/>
    <mergeCell ref="C364:E364"/>
    <mergeCell ref="C366:E366"/>
    <mergeCell ref="C367:I367"/>
    <mergeCell ref="C355:E355"/>
    <mergeCell ref="C356:E356"/>
    <mergeCell ref="C357:E357"/>
    <mergeCell ref="C358:E358"/>
    <mergeCell ref="C359:E359"/>
    <mergeCell ref="C360:E360"/>
    <mergeCell ref="C374:E374"/>
    <mergeCell ref="C375:E375"/>
    <mergeCell ref="C376:E376"/>
    <mergeCell ref="C377:E377"/>
    <mergeCell ref="C378:E378"/>
    <mergeCell ref="C379:E379"/>
    <mergeCell ref="C368:E368"/>
    <mergeCell ref="C369:E369"/>
    <mergeCell ref="C370:E370"/>
    <mergeCell ref="C371:E371"/>
    <mergeCell ref="C372:E372"/>
    <mergeCell ref="C373:I373"/>
    <mergeCell ref="C386:E386"/>
    <mergeCell ref="C387:E387"/>
    <mergeCell ref="C388:E388"/>
    <mergeCell ref="C389:E389"/>
    <mergeCell ref="C391:E391"/>
    <mergeCell ref="C392:I392"/>
    <mergeCell ref="C380:E380"/>
    <mergeCell ref="C381:E381"/>
    <mergeCell ref="C382:E382"/>
    <mergeCell ref="C383:E383"/>
    <mergeCell ref="C384:E384"/>
    <mergeCell ref="C385:E385"/>
    <mergeCell ref="C399:E399"/>
    <mergeCell ref="C400:E400"/>
    <mergeCell ref="C401:E401"/>
    <mergeCell ref="C402:E402"/>
    <mergeCell ref="C403:E403"/>
    <mergeCell ref="C404:E404"/>
    <mergeCell ref="C393:E393"/>
    <mergeCell ref="C394:E394"/>
    <mergeCell ref="C395:E395"/>
    <mergeCell ref="C396:E396"/>
    <mergeCell ref="C397:E397"/>
    <mergeCell ref="C398:I398"/>
    <mergeCell ref="C411:E411"/>
    <mergeCell ref="C412:E412"/>
    <mergeCell ref="C413:E413"/>
    <mergeCell ref="C414:E414"/>
    <mergeCell ref="C416:E416"/>
    <mergeCell ref="C417:I417"/>
    <mergeCell ref="C405:E405"/>
    <mergeCell ref="C406:E406"/>
    <mergeCell ref="C407:E407"/>
    <mergeCell ref="C408:E408"/>
    <mergeCell ref="C409:E409"/>
    <mergeCell ref="C410:E410"/>
    <mergeCell ref="C424:E424"/>
    <mergeCell ref="C425:E425"/>
    <mergeCell ref="C426:E426"/>
    <mergeCell ref="C427:E427"/>
    <mergeCell ref="C428:E428"/>
    <mergeCell ref="C429:E429"/>
    <mergeCell ref="C418:E418"/>
    <mergeCell ref="C419:E419"/>
    <mergeCell ref="C420:E420"/>
    <mergeCell ref="C421:E421"/>
    <mergeCell ref="C422:E422"/>
    <mergeCell ref="C423:I423"/>
    <mergeCell ref="C436:E436"/>
    <mergeCell ref="C437:E437"/>
    <mergeCell ref="C438:E438"/>
    <mergeCell ref="C439:E439"/>
    <mergeCell ref="C441:E441"/>
    <mergeCell ref="C442:I442"/>
    <mergeCell ref="C430:E430"/>
    <mergeCell ref="C431:E431"/>
    <mergeCell ref="C432:E432"/>
    <mergeCell ref="C433:E433"/>
    <mergeCell ref="C434:E434"/>
    <mergeCell ref="C435:E435"/>
    <mergeCell ref="C449:E449"/>
    <mergeCell ref="C450:E450"/>
    <mergeCell ref="C451:E451"/>
    <mergeCell ref="C452:E452"/>
    <mergeCell ref="C453:E453"/>
    <mergeCell ref="C454:E454"/>
    <mergeCell ref="C443:E443"/>
    <mergeCell ref="C444:E444"/>
    <mergeCell ref="C445:E445"/>
    <mergeCell ref="C446:E446"/>
    <mergeCell ref="C447:E447"/>
    <mergeCell ref="C448:I448"/>
    <mergeCell ref="C461:E461"/>
    <mergeCell ref="C462:E462"/>
    <mergeCell ref="C463:E463"/>
    <mergeCell ref="C464:E464"/>
    <mergeCell ref="C466:E466"/>
    <mergeCell ref="C467:I467"/>
    <mergeCell ref="C455:E455"/>
    <mergeCell ref="C456:E456"/>
    <mergeCell ref="C457:E457"/>
    <mergeCell ref="C458:E458"/>
    <mergeCell ref="C459:E459"/>
    <mergeCell ref="C460:E460"/>
    <mergeCell ref="C474:E474"/>
    <mergeCell ref="C475:E475"/>
    <mergeCell ref="C476:E476"/>
    <mergeCell ref="C477:E477"/>
    <mergeCell ref="C478:E478"/>
    <mergeCell ref="C479:E479"/>
    <mergeCell ref="C468:E468"/>
    <mergeCell ref="C469:E469"/>
    <mergeCell ref="C470:E470"/>
    <mergeCell ref="C471:E471"/>
    <mergeCell ref="C472:E472"/>
    <mergeCell ref="C473:I473"/>
    <mergeCell ref="C486:E486"/>
    <mergeCell ref="C487:E487"/>
    <mergeCell ref="C488:E488"/>
    <mergeCell ref="C489:E489"/>
    <mergeCell ref="C491:E491"/>
    <mergeCell ref="C492:I492"/>
    <mergeCell ref="C480:E480"/>
    <mergeCell ref="C481:E481"/>
    <mergeCell ref="C482:E482"/>
    <mergeCell ref="C483:E483"/>
    <mergeCell ref="C484:E484"/>
    <mergeCell ref="C485:E485"/>
    <mergeCell ref="C499:E499"/>
    <mergeCell ref="C500:E500"/>
    <mergeCell ref="C501:E501"/>
    <mergeCell ref="C502:E502"/>
    <mergeCell ref="C503:E503"/>
    <mergeCell ref="C504:E504"/>
    <mergeCell ref="C493:E493"/>
    <mergeCell ref="C494:E494"/>
    <mergeCell ref="C495:E495"/>
    <mergeCell ref="C496:E496"/>
    <mergeCell ref="C497:E497"/>
    <mergeCell ref="C498:I498"/>
    <mergeCell ref="C511:E511"/>
    <mergeCell ref="C512:E512"/>
    <mergeCell ref="C513:E513"/>
    <mergeCell ref="C514:E514"/>
    <mergeCell ref="C516:E516"/>
    <mergeCell ref="C517:I517"/>
    <mergeCell ref="C505:E505"/>
    <mergeCell ref="C506:E506"/>
    <mergeCell ref="C507:E507"/>
    <mergeCell ref="C508:E508"/>
    <mergeCell ref="C509:E509"/>
    <mergeCell ref="C510:E510"/>
    <mergeCell ref="C524:E524"/>
    <mergeCell ref="C525:E525"/>
    <mergeCell ref="C526:E526"/>
    <mergeCell ref="C527:E527"/>
    <mergeCell ref="C528:E528"/>
    <mergeCell ref="C529:E529"/>
    <mergeCell ref="C518:E518"/>
    <mergeCell ref="C519:E519"/>
    <mergeCell ref="C520:E520"/>
    <mergeCell ref="C521:E521"/>
    <mergeCell ref="C522:E522"/>
    <mergeCell ref="C523:I523"/>
    <mergeCell ref="C536:E536"/>
    <mergeCell ref="C537:E537"/>
    <mergeCell ref="C538:E538"/>
    <mergeCell ref="C539:E539"/>
    <mergeCell ref="C541:E541"/>
    <mergeCell ref="C542:I542"/>
    <mergeCell ref="C530:E530"/>
    <mergeCell ref="C531:E531"/>
    <mergeCell ref="C532:E532"/>
    <mergeCell ref="C533:E533"/>
    <mergeCell ref="C534:E534"/>
    <mergeCell ref="C535:E535"/>
    <mergeCell ref="C549:E549"/>
    <mergeCell ref="C550:E550"/>
    <mergeCell ref="C551:E551"/>
    <mergeCell ref="C552:E552"/>
    <mergeCell ref="C553:E553"/>
    <mergeCell ref="C554:E554"/>
    <mergeCell ref="C543:E543"/>
    <mergeCell ref="C544:E544"/>
    <mergeCell ref="C545:E545"/>
    <mergeCell ref="C546:E546"/>
    <mergeCell ref="C547:E547"/>
    <mergeCell ref="C548:I548"/>
    <mergeCell ref="C561:E561"/>
    <mergeCell ref="C562:E562"/>
    <mergeCell ref="C563:E563"/>
    <mergeCell ref="C564:E564"/>
    <mergeCell ref="C555:E555"/>
    <mergeCell ref="C556:E556"/>
    <mergeCell ref="C557:E557"/>
    <mergeCell ref="C558:E558"/>
    <mergeCell ref="C559:E559"/>
    <mergeCell ref="C560:E560"/>
  </mergeCells>
  <hyperlinks>
    <hyperlink ref="A25" location="Template!F3" display="Renovation cost/cost allocation" xr:uid="{57C31B32-40AF-4462-B8D7-2ED6A0CEC07B}"/>
    <hyperlink ref="D46" location="Template!A25" display="Total Renovation Cost" xr:uid="{E91FA727-C5A0-4CF7-B773-189DB5227D82}"/>
    <hyperlink ref="A1" location="Template!A66" display="Bookkeping" xr:uid="{67325969-DD8B-4888-8C46-934DAB697288}"/>
    <hyperlink ref="A21" location="Template!M3" display="Mortgage payment" xr:uid="{C9211DA8-D8B3-42EC-8063-AFD16DC71644}"/>
    <hyperlink ref="K3:L3" location="Template!A21" display="Mortgage Calculator" xr:uid="{38C7BFCB-2F76-45EE-A6CC-5EE3E79742A7}"/>
    <hyperlink ref="D3:E3" location="Template!A80" display="Renovation Cost Allocation" xr:uid="{1BC2D8E4-F68E-4793-BCBB-E9D965B4F414}"/>
    <hyperlink ref="A47" location="Template!A1" display="Back to top" xr:uid="{9B2A039C-A9CE-4665-9A54-43BA96CC49A3}"/>
    <hyperlink ref="G58" location="Template!H139" display="Template!H139" xr:uid="{46FA6471-6852-43D0-9F1E-49ACB7C05948}"/>
    <hyperlink ref="G77" location="Template!G139" display="Template!G139" xr:uid="{302D3DBB-38A7-430E-AED1-66A6BCEF3C89}"/>
    <hyperlink ref="C117:I117" location="Template!H58" display="Labour cost" xr:uid="{F365F688-5A5C-41AB-95DF-B8D0969303EC}"/>
    <hyperlink ref="C123:I123" location="Template!H77" display="Material Cost" xr:uid="{AA83535E-5981-4ABD-94BE-06936C58EA50}"/>
    <hyperlink ref="A116" location="Template!A1" display="Back to top" xr:uid="{1BEE427D-282C-4A3C-94A1-F0CAAC7DDC9A}"/>
    <hyperlink ref="A141" location="Template!A1" display="Back to top" xr:uid="{81C42091-6A24-4801-93C2-3E6508CA98BB}"/>
    <hyperlink ref="A166" location="Template!A1" display="Back to top" xr:uid="{C5F2DA65-9D6E-420B-97E0-65B0EBF73CC1}"/>
    <hyperlink ref="A191" location="Template!A1" display="Back to top" xr:uid="{AE1BB738-9403-4625-968B-FC99F3EACA8B}"/>
    <hyperlink ref="A216" location="Template!A1" display="Back to top" xr:uid="{A03F6474-A980-43C5-A7F0-565B3957C95A}"/>
    <hyperlink ref="A241" location="Template!A1" display="Back to top" xr:uid="{15E9302B-5CAE-4A4C-B382-9F6A53BE229B}"/>
    <hyperlink ref="A266" location="Template!A1" display="Back to top" xr:uid="{176998FD-1D44-451E-BE13-3AE6D86DAFAA}"/>
    <hyperlink ref="A291" location="Template!A1" display="Back to top" xr:uid="{D5394D42-D01A-4A85-B58E-AC9705F4FA50}"/>
    <hyperlink ref="A316" location="Template!A1" display="Back to top" xr:uid="{3FA4B018-7DA6-499E-9A4A-F7B9657305C1}"/>
    <hyperlink ref="A341" location="Template!A1" display="Back to top" xr:uid="{71D9D7F1-C54F-4BFE-AB1E-3AA3A81DCEA3}"/>
    <hyperlink ref="A366" location="Template!A1" display="Back to top" xr:uid="{6B87F1DB-830C-4917-BD7F-565D80037DD4}"/>
    <hyperlink ref="A391" location="Template!A1" display="Back to top" xr:uid="{A991F1C8-A344-4B9F-A8FC-7DFEA77C3462}"/>
    <hyperlink ref="A416" location="Template!A1" display="Back to top" xr:uid="{FB23758B-8F0C-425C-B9D7-59E4D37C88B7}"/>
    <hyperlink ref="A466" location="Template!A1" display="Back to top" xr:uid="{76162B9B-035F-4003-A2B5-8B71608E8D26}"/>
    <hyperlink ref="A516" location="Template!A1" display="Back to top" xr:uid="{F9492D64-7E0C-49A6-AC50-0DFEF9150CE3}"/>
    <hyperlink ref="A541" location="Template!A1" display="Back to top" xr:uid="{FD9D2516-5DDA-4AA3-AC0E-8B60168FF5A0}"/>
    <hyperlink ref="G59" location="Template!H164" display="Template!H164" xr:uid="{1CC8FE58-87EE-4FA6-9BF2-FBC4F076C948}"/>
    <hyperlink ref="G78" location="Template!H164" display="Template!H164" xr:uid="{AD867BD7-73D7-485F-AB55-D2A1C0CB49E8}"/>
    <hyperlink ref="G60" location="Template!H189" display="Template!H189" xr:uid="{8FEA7C04-ED54-4275-800E-1290AE31D7CC}"/>
    <hyperlink ref="G79" location="Template!H189" display="Template!H189" xr:uid="{EA488619-013F-469E-B258-8A3991DFBE9F}"/>
    <hyperlink ref="G61" location="Template!H214" display="Template!H214" xr:uid="{2A8A2C31-4383-43B8-8A25-0C2678EF5564}"/>
    <hyperlink ref="G80" location="Template!H214" display="Template!H214" xr:uid="{E5003753-AB57-4643-8FA8-D001AF3C1C03}"/>
    <hyperlink ref="G62" location="Template!H239" display="Template!H239" xr:uid="{ED3B6E2D-02CF-4FEB-BEE4-E36EF1FE8510}"/>
    <hyperlink ref="G81" location="Template!H239" display="Template!H239" xr:uid="{F48AB5EB-ED02-4C74-8CE7-8D6EC00B41E5}"/>
    <hyperlink ref="G63" location="Template!H264" display="Template!H264" xr:uid="{46052CE9-A51D-48AC-A445-4994B991498C}"/>
    <hyperlink ref="G82" location="Template!H263" display="Template!H263" xr:uid="{36CD820E-AFF9-4839-95CE-EDC97BA89869}"/>
    <hyperlink ref="G64" location="Template!H289" display="Template!H289" xr:uid="{71DD32AB-0A3E-4584-A7C3-21AC4530D268}"/>
    <hyperlink ref="G83" location="Template!H289" display="Template!H289" xr:uid="{3DE15C91-EEAA-4533-8EA2-772EBCD392D4}"/>
    <hyperlink ref="G65" location="Template!H314" display="Template!H314" xr:uid="{00E42046-692A-4C49-A0CE-0CEF3B879BE4}"/>
    <hyperlink ref="G84" location="Template!H314" display="Template!H314" xr:uid="{DF4196D0-E01C-4654-98F1-3E42472D6515}"/>
    <hyperlink ref="G66" location="Template!H339" display="Template!H339" xr:uid="{D0B52409-F150-45E3-B998-BB3D22AB47B1}"/>
    <hyperlink ref="G85" location="Template!H339" display="Template!H339" xr:uid="{56A70C9A-68EF-4AA1-B633-DD8E4BD09AB4}"/>
    <hyperlink ref="G67" location="Template!H364" display="Template!H364" xr:uid="{FFF98947-0DCB-414B-ADED-AC6ADE42567C}"/>
    <hyperlink ref="G86" location="Template!H364" display="Template!H364" xr:uid="{81637854-1BB0-49B4-8A94-574B270417EF}"/>
    <hyperlink ref="G68" location="Template!H389" display="Template!H389" xr:uid="{4EF0F874-37B0-4A7F-9CDC-1618B016A1CC}"/>
    <hyperlink ref="G87" location="Template!H389" display="Template!H389" xr:uid="{04A8C1E9-7F27-4AB2-88CB-129C7F9687ED}"/>
    <hyperlink ref="G69" location="Template!H414" display="Template!H414" xr:uid="{03A82D34-9059-41DE-9DDB-7E779633DC8E}"/>
    <hyperlink ref="G88" location="Template!H414" display="Template!H414" xr:uid="{D0562EDF-8EBA-465D-823A-F96FF5AAC418}"/>
    <hyperlink ref="G70" location="Template!H439" display="Template!H439" xr:uid="{39BE9362-6027-4EEB-ADD4-56823ECA838C}"/>
    <hyperlink ref="G89" location="Template!H439" display="Template!H439" xr:uid="{FFF7D822-739F-4D6D-957F-58E17AB0BFFF}"/>
    <hyperlink ref="G71" location="Template!H464" display="Template!H464" xr:uid="{5739D904-CA95-4BEA-B54D-459B5E810ADB}"/>
    <hyperlink ref="G90" location="Template!H464" display="Template!H464" xr:uid="{CA20F470-1B16-4A76-AA4B-F51E52CE4AD9}"/>
    <hyperlink ref="G72" location="Template!H489" display="Template!H489" xr:uid="{4B73B5C6-BA3A-419D-96FD-7A108D92D3F8}"/>
    <hyperlink ref="G91" location="Template!H489" display="Template!H489" xr:uid="{212EDC0B-DE7B-415D-8754-DC5C9745692C}"/>
    <hyperlink ref="G73" location="Template!H514" display="Template!H514" xr:uid="{058A2342-7CE2-4B89-850C-3AED25E951AB}"/>
    <hyperlink ref="G92" location="Template!H514" display="Template!H514" xr:uid="{AE5EF0F8-0352-4E0A-A528-2E52D6DFED3D}"/>
    <hyperlink ref="G74" location="Template!H539" display="Template!H539" xr:uid="{CB354010-4442-49C2-BDD1-39E73CE8196F}"/>
    <hyperlink ref="G93" location="Template!H539" display="Template!H539" xr:uid="{0B7DAB5B-DED3-47EC-9CF9-A4915CDB1F62}"/>
    <hyperlink ref="G75" location="Template!H564" display="Template!H564" xr:uid="{561BF847-B432-44F1-8B6F-CEEB5CF0607F}"/>
    <hyperlink ref="G94" location="Template!H564" display="Template!H564" xr:uid="{9380538B-3D67-43E5-993A-4DA79C4FB657}"/>
    <hyperlink ref="E98" location="Template!B47" display="Bookkeeping top" xr:uid="{03A94727-2286-4543-96B5-7F0FA73B75C9}"/>
    <hyperlink ref="C142:I142" location="Template!H59" display="Labour cost" xr:uid="{EA358067-CF37-44C8-AF44-813169D101CB}"/>
    <hyperlink ref="C148:I148" location="Template!H78" display="Material Cost" xr:uid="{D65C3CC0-4460-4727-A813-94093EBA96E4}"/>
    <hyperlink ref="C167:I167" location="Template!H60" display="Labour cost" xr:uid="{FD2B28E7-F18A-4CFA-9487-9E8A2630FA6E}"/>
    <hyperlink ref="C173:I173" location="Template!H79" display="Material Cost" xr:uid="{EA1D5277-3540-45EF-BD87-ACF45CF795E1}"/>
    <hyperlink ref="C192:I192" location="Template!H61" display="Labour cost" xr:uid="{2A619910-0296-4023-8D1D-5DA917EE9A20}"/>
    <hyperlink ref="C198:I198" location="Template!H80" display="Material Cost" xr:uid="{BE885702-5BFA-4D63-B202-2884E0E60EAF}"/>
    <hyperlink ref="C217:I217" location="Template!H62" display="Labour cost" xr:uid="{95A4D620-E70C-4ADC-8E09-88C620BEDF42}"/>
    <hyperlink ref="C223:I223" location="Template!H81" display="Material Cost" xr:uid="{CE5F7FAA-08A5-404F-8B01-A7DFB9880D15}"/>
    <hyperlink ref="C242:I242" location="Template!H63" display="Labour cost" xr:uid="{AEA4175A-3D99-4113-8A18-4CABE6A2561E}"/>
    <hyperlink ref="C248:I248" location="Template!H82" display="Material Cost" xr:uid="{1E148BC8-B445-41B5-BD8C-FEDC0EC23751}"/>
    <hyperlink ref="C267:I267" location="Template!H64" display="Labour cost" xr:uid="{BE051F82-6C5B-4A8F-BD62-B58805A78F5C}"/>
    <hyperlink ref="C273:I273" location="Template!H83" display="Material Cost" xr:uid="{AC461090-D0F4-44AA-A12A-1A5D71ECB3F9}"/>
    <hyperlink ref="C292:I292" location="Template!H65" display="Labour cost" xr:uid="{4E3F7EBC-6FB3-4FB4-A1D8-C55558178FC8}"/>
    <hyperlink ref="C298:I298" location="Template!H84" display="Material Cost" xr:uid="{DC3B9E72-40A8-43AE-9434-0EB4D092F66D}"/>
    <hyperlink ref="C317:I317" location="Template!H66" display="Labour cost" xr:uid="{5747B984-637D-42DE-89EB-247B62FC8F3E}"/>
    <hyperlink ref="C323:I323" location="Template!H85" display="Material Cost" xr:uid="{794BF134-EEB0-4355-921D-92655F8ABF91}"/>
    <hyperlink ref="C342:I342" location="Template!H67" display="Labour cost" xr:uid="{BEC26314-9F32-4B78-9670-ECBA4DEC9CF4}"/>
    <hyperlink ref="C348:I348" location="Template!H86" display="Material Cost" xr:uid="{B9F57D40-D683-4AA8-B34D-E9C332D478AE}"/>
    <hyperlink ref="C367:I367" location="Template!H68" display="Labour cost" xr:uid="{FC3CEBB7-419E-476D-B72A-B058458B27CC}"/>
    <hyperlink ref="C373:I373" location="Template!H87" display="Material Cost" xr:uid="{49931715-9779-409E-B267-6C196D0F2AC6}"/>
    <hyperlink ref="C392:I392" location="Template!H69" display="Labour cost" xr:uid="{4EE9D20B-71E7-4A54-A154-B3C6DE334D09}"/>
    <hyperlink ref="C398:I398" location="Template!H88" display="Material Cost" xr:uid="{46163A23-6F82-4C33-8432-2B362F01DD47}"/>
    <hyperlink ref="C417:I417" location="Template!H70" display="Labour cost" xr:uid="{5EB14E83-E5FD-40B2-BDB9-3B6B6FF3EB28}"/>
    <hyperlink ref="C423:I423" location="Template!H89" display="Material Cost" xr:uid="{CC3DFD2E-F560-461C-8626-9C28AADF7E0E}"/>
    <hyperlink ref="C442:I442" location="Template!H71" display="Labour cost" xr:uid="{58FC7BD9-3286-4924-81D2-A16A421F337B}"/>
    <hyperlink ref="C448:I448" location="Template!H90" display="Material Cost" xr:uid="{B3EE37C2-D998-4101-82BF-B1648CF0E89C}"/>
    <hyperlink ref="C467:I467" location="Template!H72" display="Labour cost" xr:uid="{3A8D4554-D0D6-478E-A279-DA46026FC7B1}"/>
    <hyperlink ref="C473:I473" location="Template!H91" display="Material Cost" xr:uid="{DC317A71-A255-42A6-937B-8F226CFA4FC7}"/>
    <hyperlink ref="C492:I492" location="Template!H73" display="Labour cost" xr:uid="{5ED64B36-EDF1-4F01-8FEA-6D25203B51AA}"/>
    <hyperlink ref="C498:I498" location="Template!H92" display="Material Cost" xr:uid="{512D89CD-F621-424E-BE50-6264B1A347B3}"/>
    <hyperlink ref="C517:I517" location="Template!H74" display="Labour cost" xr:uid="{7503F52B-B626-40B1-878C-EF080FFE612D}"/>
    <hyperlink ref="C523:I523" location="Template!H93" display="Material Cost" xr:uid="{719BDB44-A84F-471E-9F28-A18A12A18588}"/>
    <hyperlink ref="C542:I542" location="Template!H75" display="Labour cost" xr:uid="{A8831C6B-1CB4-4989-8874-C9D74CE0C31D}"/>
    <hyperlink ref="C548:I548" location="Template!H94" display="Material Cost" xr:uid="{BAB0515D-BE9E-48E8-8B79-ECAD6E98C70E}"/>
    <hyperlink ref="A491" location="Template!A1" display="Back to top" xr:uid="{1B5FA157-245A-49C1-AB8E-B0583E13492B}"/>
    <hyperlink ref="A441" location="Template!A1" display="Back to top" xr:uid="{7A02128D-7CD3-4F74-9463-986FBF8EBA18}"/>
    <hyperlink ref="A60" location="Template!E1" display="Renovation Cost Allocation" xr:uid="{D6F921EA-0522-45DE-84AF-16BA98495192}"/>
    <hyperlink ref="F3" location="Result!A1" display="Actural cost" xr:uid="{85EC158F-6240-4A56-8D4C-7DC50928B30E}"/>
    <hyperlink ref="L47" location="Template!A47" display="Back to bookkeeping" xr:uid="{62703E3D-25D7-4BCB-B038-324B4CF98E24}"/>
    <hyperlink ref="A57" location="Template!V47" display="More" xr:uid="{CCE267B4-9218-4900-8253-2416A2848DD8}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555102-50AC-493A-BF2C-D31F615F66A1}">
          <x14:formula1>
            <xm:f>'BC Cities'!$A$3:$A$60</xm:f>
          </x14:formula1>
          <xm:sqref>D2</xm:sqref>
        </x14:dataValidation>
        <x14:dataValidation type="list" allowBlank="1" showInputMessage="1" showErrorMessage="1" xr:uid="{5060D83B-A972-4FE9-9FE9-A2A9EDA9D273}">
          <x14:formula1>
            <xm:f>'Canada Provinces'!$A$2:$A$14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3454B-17CC-418A-B6A1-DAD4DAC2ED2B}">
  <sheetPr codeName="Sheet1"/>
  <dimension ref="A1:U564"/>
  <sheetViews>
    <sheetView topLeftCell="A160" zoomScaleNormal="100" workbookViewId="0"/>
  </sheetViews>
  <sheetFormatPr defaultColWidth="8.77734375" defaultRowHeight="13.8" x14ac:dyDescent="0.25"/>
  <cols>
    <col min="1" max="1" width="27.109375" style="5" customWidth="1"/>
    <col min="2" max="2" width="19.5546875" style="4" customWidth="1"/>
    <col min="3" max="3" width="10.44140625" style="5" customWidth="1"/>
    <col min="4" max="4" width="21.77734375" style="5" customWidth="1"/>
    <col min="5" max="5" width="15.21875" style="4" customWidth="1"/>
    <col min="6" max="6" width="12.44140625" style="4" customWidth="1"/>
    <col min="7" max="7" width="25" style="5" customWidth="1"/>
    <col min="8" max="8" width="14.5546875" style="5" customWidth="1"/>
    <col min="9" max="9" width="10.21875" style="5" customWidth="1"/>
    <col min="10" max="10" width="11.21875" style="5" customWidth="1"/>
    <col min="11" max="11" width="25.109375" style="5" customWidth="1"/>
    <col min="12" max="12" width="35.88671875" style="5" customWidth="1"/>
    <col min="13" max="13" width="8.77734375" style="5"/>
    <col min="14" max="14" width="7.109375" style="5" customWidth="1"/>
    <col min="15" max="15" width="14" style="5" customWidth="1"/>
    <col min="16" max="16" width="8.77734375" style="5"/>
    <col min="17" max="17" width="10.21875" style="5" customWidth="1"/>
    <col min="18" max="18" width="41.109375" style="5" customWidth="1"/>
    <col min="19" max="19" width="16.77734375" style="5" customWidth="1"/>
    <col min="20" max="16384" width="8.77734375" style="5"/>
  </cols>
  <sheetData>
    <row r="1" spans="1:12" ht="17.399999999999999" thickBot="1" x14ac:dyDescent="0.35">
      <c r="A1" s="1" t="s">
        <v>53</v>
      </c>
      <c r="B1" s="2" t="s">
        <v>354</v>
      </c>
      <c r="C1" s="3" t="s">
        <v>94</v>
      </c>
      <c r="D1" s="3" t="s">
        <v>95</v>
      </c>
      <c r="G1"/>
    </row>
    <row r="2" spans="1:12" ht="16.8" thickTop="1" thickBot="1" x14ac:dyDescent="0.35">
      <c r="A2" s="6" t="s">
        <v>29</v>
      </c>
      <c r="B2" s="7" t="s">
        <v>355</v>
      </c>
      <c r="C2" s="7" t="s">
        <v>100</v>
      </c>
      <c r="D2" s="7" t="s">
        <v>235</v>
      </c>
    </row>
    <row r="3" spans="1:12" ht="19.05" customHeight="1" thickBot="1" x14ac:dyDescent="0.65">
      <c r="A3" s="6" t="s">
        <v>33</v>
      </c>
      <c r="B3" s="7" t="s">
        <v>356</v>
      </c>
      <c r="D3" s="211" t="s">
        <v>34</v>
      </c>
      <c r="E3" s="211"/>
      <c r="F3" s="8" t="s">
        <v>35</v>
      </c>
      <c r="G3" s="3" t="s">
        <v>91</v>
      </c>
      <c r="H3" s="3" t="s">
        <v>92</v>
      </c>
      <c r="I3" s="3" t="s">
        <v>93</v>
      </c>
      <c r="K3" s="212" t="s">
        <v>64</v>
      </c>
      <c r="L3" s="213"/>
    </row>
    <row r="4" spans="1:12" ht="16.2" thickTop="1" x14ac:dyDescent="0.3">
      <c r="A4" s="6" t="s">
        <v>357</v>
      </c>
      <c r="B4" s="9">
        <v>1823</v>
      </c>
      <c r="C4" s="5" t="s">
        <v>358</v>
      </c>
      <c r="D4" s="5" t="s">
        <v>37</v>
      </c>
      <c r="K4" s="10" t="s">
        <v>18</v>
      </c>
      <c r="L4" s="11">
        <f>B8</f>
        <v>525000</v>
      </c>
    </row>
    <row r="5" spans="1:12" ht="15.6" x14ac:dyDescent="0.3">
      <c r="A5" s="12" t="s">
        <v>8</v>
      </c>
      <c r="B5" s="13">
        <v>725000</v>
      </c>
      <c r="C5" s="14"/>
      <c r="D5" s="15" t="s">
        <v>84</v>
      </c>
      <c r="E5" s="16">
        <v>2800</v>
      </c>
      <c r="F5" s="4">
        <f>H58</f>
        <v>3000</v>
      </c>
      <c r="G5" s="17">
        <f>E5-F5</f>
        <v>-200</v>
      </c>
      <c r="H5" s="18">
        <f>F5/$F$46</f>
        <v>3.0329070413991813E-2</v>
      </c>
      <c r="I5" s="19">
        <f>F5/$B$4</f>
        <v>1.6456390565002743</v>
      </c>
      <c r="K5" s="10" t="s">
        <v>65</v>
      </c>
      <c r="L5" s="20">
        <f>B27</f>
        <v>0.2</v>
      </c>
    </row>
    <row r="6" spans="1:12" ht="16.2" thickBot="1" x14ac:dyDescent="0.35">
      <c r="A6" s="21" t="s">
        <v>372</v>
      </c>
      <c r="B6" s="22">
        <v>6</v>
      </c>
      <c r="D6" s="23" t="s">
        <v>36</v>
      </c>
      <c r="E6" s="16">
        <v>4000</v>
      </c>
      <c r="F6" s="4">
        <f t="shared" ref="F6:F15" si="0">H59</f>
        <v>4034</v>
      </c>
      <c r="G6" s="17">
        <f t="shared" ref="G6:G46" si="1">E6-F6</f>
        <v>-34</v>
      </c>
      <c r="H6" s="18">
        <f t="shared" ref="H6:H45" si="2">F6/$F$46</f>
        <v>4.0782490016680988E-2</v>
      </c>
      <c r="I6" s="19">
        <f t="shared" ref="I6:I46" si="3">F6/$B$4</f>
        <v>2.212835984640702</v>
      </c>
      <c r="K6" s="10" t="s">
        <v>66</v>
      </c>
      <c r="L6" s="24">
        <v>30</v>
      </c>
    </row>
    <row r="7" spans="1:12" ht="16.2" thickTop="1" x14ac:dyDescent="0.3">
      <c r="A7" s="25" t="s">
        <v>18</v>
      </c>
      <c r="B7" s="26">
        <f>SUM(B8:B10)</f>
        <v>527050</v>
      </c>
      <c r="D7" s="23" t="s">
        <v>85</v>
      </c>
      <c r="E7" s="16">
        <v>3000</v>
      </c>
      <c r="F7" s="4">
        <f t="shared" si="0"/>
        <v>2560</v>
      </c>
      <c r="G7" s="17">
        <f t="shared" si="1"/>
        <v>440</v>
      </c>
      <c r="H7" s="18">
        <f t="shared" si="2"/>
        <v>2.5880806753273013E-2</v>
      </c>
      <c r="I7" s="19">
        <f t="shared" si="3"/>
        <v>1.4042786615469007</v>
      </c>
      <c r="K7" s="10" t="s">
        <v>67</v>
      </c>
      <c r="L7" s="27">
        <v>12</v>
      </c>
    </row>
    <row r="8" spans="1:12" ht="15.6" x14ac:dyDescent="0.3">
      <c r="A8" s="28" t="s">
        <v>10</v>
      </c>
      <c r="B8" s="29">
        <v>525000</v>
      </c>
      <c r="D8" s="23" t="s">
        <v>38</v>
      </c>
      <c r="E8" s="16">
        <v>2500</v>
      </c>
      <c r="F8" s="4">
        <f t="shared" si="0"/>
        <v>2040</v>
      </c>
      <c r="G8" s="17">
        <f t="shared" si="1"/>
        <v>460</v>
      </c>
      <c r="H8" s="18">
        <f t="shared" si="2"/>
        <v>2.0623767881514432E-2</v>
      </c>
      <c r="I8" s="19">
        <f t="shared" si="3"/>
        <v>1.1190345584201864</v>
      </c>
      <c r="K8" s="10" t="s">
        <v>68</v>
      </c>
      <c r="L8" s="30">
        <v>1.7999999999999999E-2</v>
      </c>
    </row>
    <row r="9" spans="1:12" ht="15.6" x14ac:dyDescent="0.3">
      <c r="A9" s="28" t="s">
        <v>11</v>
      </c>
      <c r="B9" s="29">
        <v>1200</v>
      </c>
      <c r="D9" s="23" t="s">
        <v>54</v>
      </c>
      <c r="E9" s="16">
        <v>5000</v>
      </c>
      <c r="F9" s="4">
        <f t="shared" si="0"/>
        <v>4603</v>
      </c>
      <c r="G9" s="17">
        <f t="shared" si="1"/>
        <v>397</v>
      </c>
      <c r="H9" s="18">
        <f t="shared" si="2"/>
        <v>4.6534903705201434E-2</v>
      </c>
      <c r="I9" s="19">
        <f t="shared" si="3"/>
        <v>2.5249588590235876</v>
      </c>
      <c r="K9" s="10" t="s">
        <v>69</v>
      </c>
      <c r="L9" s="31">
        <f>L6*L7</f>
        <v>360</v>
      </c>
    </row>
    <row r="10" spans="1:12" ht="15.6" x14ac:dyDescent="0.3">
      <c r="A10" s="28" t="s">
        <v>12</v>
      </c>
      <c r="B10" s="29">
        <v>850</v>
      </c>
      <c r="D10" s="23" t="s">
        <v>39</v>
      </c>
      <c r="E10" s="16">
        <v>7000</v>
      </c>
      <c r="F10" s="4">
        <f t="shared" si="0"/>
        <v>6560</v>
      </c>
      <c r="G10" s="17">
        <f t="shared" si="1"/>
        <v>440</v>
      </c>
      <c r="H10" s="18">
        <f t="shared" si="2"/>
        <v>6.6319567305262089E-2</v>
      </c>
      <c r="I10" s="19">
        <f t="shared" si="3"/>
        <v>3.5984640702139332</v>
      </c>
      <c r="K10" s="10" t="s">
        <v>30</v>
      </c>
      <c r="L10" s="11">
        <f>L4*L5</f>
        <v>105000</v>
      </c>
    </row>
    <row r="11" spans="1:12" ht="15.6" x14ac:dyDescent="0.3">
      <c r="A11" s="25" t="s">
        <v>17</v>
      </c>
      <c r="B11" s="26">
        <f>SUM(B12:B15)</f>
        <v>13300</v>
      </c>
      <c r="D11" s="23" t="s">
        <v>86</v>
      </c>
      <c r="E11" s="16">
        <v>2500</v>
      </c>
      <c r="F11" s="4">
        <f t="shared" si="0"/>
        <v>3260</v>
      </c>
      <c r="G11" s="17">
        <f t="shared" si="1"/>
        <v>-760</v>
      </c>
      <c r="H11" s="18">
        <f t="shared" si="2"/>
        <v>3.29575898498711E-2</v>
      </c>
      <c r="I11" s="19">
        <f t="shared" si="3"/>
        <v>1.7882611080636315</v>
      </c>
      <c r="K11" s="10" t="s">
        <v>70</v>
      </c>
      <c r="L11" s="11">
        <f>L4-L10</f>
        <v>420000</v>
      </c>
    </row>
    <row r="12" spans="1:12" ht="16.2" thickBot="1" x14ac:dyDescent="0.35">
      <c r="A12" s="28" t="s">
        <v>13</v>
      </c>
      <c r="B12" s="29">
        <v>1000</v>
      </c>
      <c r="D12" s="23" t="s">
        <v>87</v>
      </c>
      <c r="E12" s="16">
        <v>2000</v>
      </c>
      <c r="F12" s="4">
        <f t="shared" si="0"/>
        <v>3500</v>
      </c>
      <c r="G12" s="17">
        <f t="shared" si="1"/>
        <v>-1500</v>
      </c>
      <c r="H12" s="18">
        <f t="shared" si="2"/>
        <v>3.5383915482990448E-2</v>
      </c>
      <c r="I12" s="19">
        <f t="shared" si="3"/>
        <v>1.9199122325836533</v>
      </c>
      <c r="K12" s="32" t="s">
        <v>71</v>
      </c>
      <c r="L12" s="33">
        <f>-PMT(L8/L7,L9,L11,0)</f>
        <v>1510.7336814138685</v>
      </c>
    </row>
    <row r="13" spans="1:12" ht="15.6" x14ac:dyDescent="0.3">
      <c r="A13" s="28" t="s">
        <v>14</v>
      </c>
      <c r="B13" s="29">
        <f>B8*2%</f>
        <v>10500</v>
      </c>
      <c r="D13" s="23" t="s">
        <v>80</v>
      </c>
      <c r="E13" s="16">
        <v>3000</v>
      </c>
      <c r="F13" s="4">
        <f t="shared" si="0"/>
        <v>2900</v>
      </c>
      <c r="G13" s="17">
        <f t="shared" si="1"/>
        <v>100</v>
      </c>
      <c r="H13" s="18">
        <f t="shared" si="2"/>
        <v>2.9318101400192084E-2</v>
      </c>
      <c r="I13" s="19">
        <f t="shared" si="3"/>
        <v>1.5907844212835984</v>
      </c>
    </row>
    <row r="14" spans="1:12" ht="15.6" x14ac:dyDescent="0.3">
      <c r="A14" s="28" t="s">
        <v>15</v>
      </c>
      <c r="B14" s="29">
        <v>1500</v>
      </c>
      <c r="D14" s="23" t="s">
        <v>88</v>
      </c>
      <c r="E14" s="16">
        <v>2000</v>
      </c>
      <c r="F14" s="4">
        <f t="shared" si="0"/>
        <v>2560</v>
      </c>
      <c r="G14" s="17">
        <f t="shared" si="1"/>
        <v>-560</v>
      </c>
      <c r="H14" s="18">
        <f t="shared" si="2"/>
        <v>2.5880806753273013E-2</v>
      </c>
      <c r="I14" s="19">
        <f t="shared" si="3"/>
        <v>1.4042786615469007</v>
      </c>
    </row>
    <row r="15" spans="1:12" ht="15.6" x14ac:dyDescent="0.3">
      <c r="A15" s="28" t="s">
        <v>16</v>
      </c>
      <c r="B15" s="29">
        <v>300</v>
      </c>
      <c r="D15" s="23" t="s">
        <v>40</v>
      </c>
      <c r="E15" s="16">
        <v>2000</v>
      </c>
      <c r="F15" s="4">
        <f t="shared" si="0"/>
        <v>2680</v>
      </c>
      <c r="G15" s="17">
        <f t="shared" si="1"/>
        <v>-680</v>
      </c>
      <c r="H15" s="18">
        <f t="shared" si="2"/>
        <v>2.7093969569832684E-2</v>
      </c>
      <c r="I15" s="19">
        <f t="shared" si="3"/>
        <v>1.4701042238069117</v>
      </c>
    </row>
    <row r="16" spans="1:12" ht="15.6" x14ac:dyDescent="0.3">
      <c r="A16" s="25" t="s">
        <v>19</v>
      </c>
      <c r="B16" s="26">
        <f>SUM(B17:B23)</f>
        <v>2792.7336814138685</v>
      </c>
      <c r="D16" s="5" t="s">
        <v>41</v>
      </c>
      <c r="E16" s="34"/>
      <c r="G16" s="17"/>
      <c r="H16" s="18"/>
      <c r="I16" s="19"/>
    </row>
    <row r="17" spans="1:9" ht="15.6" x14ac:dyDescent="0.3">
      <c r="A17" s="28" t="s">
        <v>20</v>
      </c>
      <c r="B17" s="29">
        <v>122</v>
      </c>
      <c r="D17" s="35" t="s">
        <v>42</v>
      </c>
      <c r="E17" s="16">
        <v>3000</v>
      </c>
      <c r="F17" s="4">
        <f>H69</f>
        <v>3000</v>
      </c>
      <c r="G17" s="17">
        <f t="shared" si="1"/>
        <v>0</v>
      </c>
      <c r="H17" s="18">
        <f t="shared" si="2"/>
        <v>3.0329070413991813E-2</v>
      </c>
      <c r="I17" s="19">
        <f t="shared" si="3"/>
        <v>1.6456390565002743</v>
      </c>
    </row>
    <row r="18" spans="1:9" ht="15.6" x14ac:dyDescent="0.3">
      <c r="A18" s="28" t="s">
        <v>21</v>
      </c>
      <c r="B18" s="29">
        <v>100</v>
      </c>
      <c r="D18" s="35" t="s">
        <v>43</v>
      </c>
      <c r="E18" s="16">
        <v>3500</v>
      </c>
      <c r="F18" s="4">
        <f t="shared" ref="F18:F23" si="4">H70</f>
        <v>3500</v>
      </c>
      <c r="G18" s="17">
        <f t="shared" si="1"/>
        <v>0</v>
      </c>
      <c r="H18" s="18">
        <f t="shared" si="2"/>
        <v>3.5383915482990448E-2</v>
      </c>
      <c r="I18" s="19">
        <f t="shared" si="3"/>
        <v>1.9199122325836533</v>
      </c>
    </row>
    <row r="19" spans="1:9" ht="15.6" x14ac:dyDescent="0.3">
      <c r="A19" s="28" t="s">
        <v>22</v>
      </c>
      <c r="B19" s="29">
        <v>322</v>
      </c>
      <c r="D19" s="35" t="s">
        <v>38</v>
      </c>
      <c r="E19" s="16">
        <v>2000</v>
      </c>
      <c r="F19" s="4">
        <f t="shared" si="4"/>
        <v>1200</v>
      </c>
      <c r="G19" s="17">
        <f t="shared" si="1"/>
        <v>800</v>
      </c>
      <c r="H19" s="18">
        <f t="shared" si="2"/>
        <v>1.2131628165596724E-2</v>
      </c>
      <c r="I19" s="19">
        <f t="shared" si="3"/>
        <v>0.65825562260010972</v>
      </c>
    </row>
    <row r="20" spans="1:9" ht="15.6" x14ac:dyDescent="0.3">
      <c r="A20" s="28" t="s">
        <v>23</v>
      </c>
      <c r="B20" s="29">
        <v>10</v>
      </c>
      <c r="D20" s="35" t="s">
        <v>44</v>
      </c>
      <c r="E20" s="16">
        <v>1800</v>
      </c>
      <c r="F20" s="4">
        <f t="shared" si="4"/>
        <v>1500</v>
      </c>
      <c r="G20" s="17">
        <f t="shared" si="1"/>
        <v>300</v>
      </c>
      <c r="H20" s="18">
        <f t="shared" si="2"/>
        <v>1.5164535206995906E-2</v>
      </c>
      <c r="I20" s="19">
        <f t="shared" si="3"/>
        <v>0.82281952825013716</v>
      </c>
    </row>
    <row r="21" spans="1:9" ht="15.6" x14ac:dyDescent="0.3">
      <c r="A21" s="36" t="s">
        <v>24</v>
      </c>
      <c r="B21" s="37">
        <f>L12</f>
        <v>1510.7336814138685</v>
      </c>
      <c r="D21" s="35" t="s">
        <v>45</v>
      </c>
      <c r="E21" s="16">
        <v>1860</v>
      </c>
      <c r="F21" s="4">
        <f t="shared" si="4"/>
        <v>1890</v>
      </c>
      <c r="G21" s="17">
        <f t="shared" si="1"/>
        <v>-30</v>
      </c>
      <c r="H21" s="18">
        <f t="shared" si="2"/>
        <v>1.910731436081484E-2</v>
      </c>
      <c r="I21" s="19">
        <f t="shared" si="3"/>
        <v>1.0367526055951728</v>
      </c>
    </row>
    <row r="22" spans="1:9" ht="15.6" x14ac:dyDescent="0.3">
      <c r="A22" s="28" t="s">
        <v>25</v>
      </c>
      <c r="B22" s="29">
        <v>478</v>
      </c>
      <c r="D22" s="35" t="s">
        <v>46</v>
      </c>
      <c r="E22" s="16"/>
      <c r="F22" s="4">
        <f t="shared" si="4"/>
        <v>0</v>
      </c>
      <c r="G22" s="17">
        <f t="shared" si="1"/>
        <v>0</v>
      </c>
      <c r="H22" s="18">
        <f t="shared" si="2"/>
        <v>0</v>
      </c>
      <c r="I22" s="19">
        <f t="shared" si="3"/>
        <v>0</v>
      </c>
    </row>
    <row r="23" spans="1:9" ht="15.6" x14ac:dyDescent="0.3">
      <c r="A23" s="28" t="s">
        <v>26</v>
      </c>
      <c r="B23" s="29">
        <v>250</v>
      </c>
      <c r="D23" s="35" t="s">
        <v>47</v>
      </c>
      <c r="E23" s="16">
        <v>1350</v>
      </c>
      <c r="F23" s="4">
        <f t="shared" si="4"/>
        <v>1000</v>
      </c>
      <c r="G23" s="17">
        <f t="shared" si="1"/>
        <v>350</v>
      </c>
      <c r="H23" s="18">
        <f t="shared" si="2"/>
        <v>1.0109690137997271E-2</v>
      </c>
      <c r="I23" s="19">
        <f t="shared" si="3"/>
        <v>0.54854635216675807</v>
      </c>
    </row>
    <row r="24" spans="1:9" ht="16.2" thickBot="1" x14ac:dyDescent="0.35">
      <c r="A24" s="25" t="s">
        <v>27</v>
      </c>
      <c r="B24" s="26">
        <f>B16*B6</f>
        <v>16756.40208848321</v>
      </c>
      <c r="D24" s="38" t="s">
        <v>50</v>
      </c>
      <c r="E24" s="39">
        <f>SUM(E5:E23)</f>
        <v>49310</v>
      </c>
      <c r="F24" s="39">
        <f>SUM(F5:F23)</f>
        <v>49787</v>
      </c>
      <c r="G24" s="40">
        <f t="shared" si="1"/>
        <v>-477</v>
      </c>
      <c r="H24" s="41">
        <f t="shared" si="2"/>
        <v>0.5033311429004701</v>
      </c>
      <c r="I24" s="42">
        <f t="shared" si="3"/>
        <v>27.310477235326385</v>
      </c>
    </row>
    <row r="25" spans="1:9" ht="13.95" customHeight="1" thickTop="1" x14ac:dyDescent="0.3">
      <c r="A25" s="43" t="s">
        <v>360</v>
      </c>
      <c r="B25" s="44">
        <f>E46</f>
        <v>94910</v>
      </c>
      <c r="D25" s="5" t="s">
        <v>48</v>
      </c>
      <c r="G25" s="17"/>
      <c r="H25" s="18"/>
      <c r="I25" s="19"/>
    </row>
    <row r="26" spans="1:9" ht="13.95" customHeight="1" thickBot="1" x14ac:dyDescent="0.35">
      <c r="A26" s="45" t="s">
        <v>28</v>
      </c>
      <c r="B26" s="46">
        <f>B7+B11+B24+B25</f>
        <v>652016.40208848321</v>
      </c>
      <c r="D26" s="47" t="str">
        <f t="shared" ref="D26:D36" si="5">D5</f>
        <v>Demolition</v>
      </c>
      <c r="E26" s="16">
        <v>700</v>
      </c>
      <c r="F26" s="4">
        <f>H77</f>
        <v>650</v>
      </c>
      <c r="G26" s="17">
        <f t="shared" si="1"/>
        <v>50</v>
      </c>
      <c r="H26" s="18">
        <f t="shared" si="2"/>
        <v>6.5712985896982257E-3</v>
      </c>
      <c r="I26" s="19">
        <f t="shared" si="3"/>
        <v>0.35655512890839275</v>
      </c>
    </row>
    <row r="27" spans="1:9" ht="16.2" thickTop="1" x14ac:dyDescent="0.3">
      <c r="A27" s="48" t="s">
        <v>30</v>
      </c>
      <c r="B27" s="49">
        <v>0.2</v>
      </c>
      <c r="D27" s="50" t="str">
        <f t="shared" si="5"/>
        <v>Framing</v>
      </c>
      <c r="E27" s="16">
        <v>6000</v>
      </c>
      <c r="F27" s="4">
        <f t="shared" ref="F27:F36" si="6">H78</f>
        <v>6174</v>
      </c>
      <c r="G27" s="17">
        <f t="shared" si="1"/>
        <v>-174</v>
      </c>
      <c r="H27" s="18">
        <f t="shared" si="2"/>
        <v>6.2417226911995145E-2</v>
      </c>
      <c r="I27" s="19">
        <f t="shared" si="3"/>
        <v>3.3867251782775645</v>
      </c>
    </row>
    <row r="28" spans="1:9" ht="15.6" x14ac:dyDescent="0.3">
      <c r="A28" s="51"/>
      <c r="B28" s="52">
        <f>B8*B27</f>
        <v>105000</v>
      </c>
      <c r="D28" s="50" t="str">
        <f t="shared" si="5"/>
        <v>Drywall, tape&amp;mudding</v>
      </c>
      <c r="E28" s="16">
        <v>3800</v>
      </c>
      <c r="F28" s="4">
        <f t="shared" si="6"/>
        <v>3756</v>
      </c>
      <c r="G28" s="17">
        <f t="shared" si="1"/>
        <v>44</v>
      </c>
      <c r="H28" s="18">
        <f t="shared" si="2"/>
        <v>3.7971996158317749E-2</v>
      </c>
      <c r="I28" s="19">
        <f t="shared" si="3"/>
        <v>2.0603400987383433</v>
      </c>
    </row>
    <row r="29" spans="1:9" ht="16.2" thickBot="1" x14ac:dyDescent="0.35">
      <c r="A29" s="53" t="s">
        <v>31</v>
      </c>
      <c r="B29" s="39">
        <f>B28+B25+B24+B16+B11+B10+B9</f>
        <v>234809.13576989708</v>
      </c>
      <c r="D29" s="50" t="str">
        <f t="shared" si="5"/>
        <v>Painting</v>
      </c>
      <c r="E29" s="16">
        <v>1000</v>
      </c>
      <c r="F29" s="4">
        <f t="shared" si="6"/>
        <v>792</v>
      </c>
      <c r="G29" s="17">
        <f t="shared" si="1"/>
        <v>208</v>
      </c>
      <c r="H29" s="18">
        <f t="shared" si="2"/>
        <v>8.0068745892938383E-3</v>
      </c>
      <c r="I29" s="19">
        <f t="shared" si="3"/>
        <v>0.4344487109160724</v>
      </c>
    </row>
    <row r="30" spans="1:9" ht="16.8" thickTop="1" thickBot="1" x14ac:dyDescent="0.35">
      <c r="A30" s="54" t="s">
        <v>359</v>
      </c>
      <c r="B30" s="55">
        <f>B5-B26</f>
        <v>72983.597911516787</v>
      </c>
      <c r="D30" s="50" t="str">
        <f t="shared" si="5"/>
        <v>Finish Carpentry</v>
      </c>
      <c r="E30" s="16">
        <v>4500</v>
      </c>
      <c r="F30" s="4">
        <f t="shared" si="6"/>
        <v>4227</v>
      </c>
      <c r="G30" s="17">
        <f t="shared" si="1"/>
        <v>273</v>
      </c>
      <c r="H30" s="18">
        <f t="shared" si="2"/>
        <v>4.2733660213314463E-2</v>
      </c>
      <c r="I30" s="19">
        <f t="shared" si="3"/>
        <v>2.3187054306088863</v>
      </c>
    </row>
    <row r="31" spans="1:9" ht="16.8" thickTop="1" thickBot="1" x14ac:dyDescent="0.35">
      <c r="A31" s="54" t="s">
        <v>32</v>
      </c>
      <c r="B31" s="56">
        <f>B30/B29</f>
        <v>0.31082094686059231</v>
      </c>
      <c r="D31" s="50" t="str">
        <f t="shared" si="5"/>
        <v>Kitchen cabinet</v>
      </c>
      <c r="E31" s="16">
        <v>12000</v>
      </c>
      <c r="F31" s="4">
        <f t="shared" si="6"/>
        <v>12000</v>
      </c>
      <c r="G31" s="17">
        <f t="shared" si="1"/>
        <v>0</v>
      </c>
      <c r="H31" s="18">
        <f t="shared" si="2"/>
        <v>0.12131628165596725</v>
      </c>
      <c r="I31" s="19">
        <f t="shared" si="3"/>
        <v>6.5825562260010972</v>
      </c>
    </row>
    <row r="32" spans="1:9" ht="14.4" thickTop="1" x14ac:dyDescent="0.25">
      <c r="D32" s="50" t="str">
        <f t="shared" si="5"/>
        <v>Bathroom</v>
      </c>
      <c r="E32" s="16">
        <v>2000</v>
      </c>
      <c r="F32" s="4">
        <f t="shared" si="6"/>
        <v>2518</v>
      </c>
      <c r="G32" s="17">
        <f t="shared" si="1"/>
        <v>-518</v>
      </c>
      <c r="H32" s="18">
        <f t="shared" si="2"/>
        <v>2.5456199767477126E-2</v>
      </c>
      <c r="I32" s="19">
        <f t="shared" si="3"/>
        <v>1.3812397147558968</v>
      </c>
    </row>
    <row r="33" spans="1:21" x14ac:dyDescent="0.25">
      <c r="A33" s="57"/>
      <c r="B33" s="58"/>
      <c r="D33" s="50" t="str">
        <f t="shared" si="5"/>
        <v>Floorinng, tiling</v>
      </c>
      <c r="E33" s="16">
        <v>3000</v>
      </c>
      <c r="F33" s="4">
        <f>H84</f>
        <v>5678</v>
      </c>
      <c r="G33" s="17">
        <f t="shared" si="1"/>
        <v>-2678</v>
      </c>
      <c r="H33" s="18">
        <f t="shared" si="2"/>
        <v>5.7402820603548503E-2</v>
      </c>
      <c r="I33" s="19">
        <f t="shared" si="3"/>
        <v>3.1146461876028524</v>
      </c>
    </row>
    <row r="34" spans="1:21" x14ac:dyDescent="0.25">
      <c r="A34" s="57"/>
      <c r="B34" s="58"/>
      <c r="D34" s="50" t="str">
        <f t="shared" si="5"/>
        <v>HVAC</v>
      </c>
      <c r="E34" s="16">
        <v>500</v>
      </c>
      <c r="F34" s="4">
        <f t="shared" si="6"/>
        <v>350</v>
      </c>
      <c r="G34" s="17">
        <f t="shared" si="1"/>
        <v>150</v>
      </c>
      <c r="H34" s="18">
        <f t="shared" si="2"/>
        <v>3.5383915482990447E-3</v>
      </c>
      <c r="I34" s="19">
        <f t="shared" si="3"/>
        <v>0.19199122325836535</v>
      </c>
    </row>
    <row r="35" spans="1:21" x14ac:dyDescent="0.25">
      <c r="A35" s="57"/>
      <c r="B35" s="58"/>
      <c r="D35" s="50" t="str">
        <f t="shared" si="5"/>
        <v>Electriccal</v>
      </c>
      <c r="E35" s="16">
        <v>200</v>
      </c>
      <c r="F35" s="4">
        <f t="shared" si="6"/>
        <v>612</v>
      </c>
      <c r="G35" s="17">
        <f t="shared" si="1"/>
        <v>-412</v>
      </c>
      <c r="H35" s="18">
        <f t="shared" si="2"/>
        <v>6.1871303644543294E-3</v>
      </c>
      <c r="I35" s="19">
        <f t="shared" si="3"/>
        <v>0.33571036752605593</v>
      </c>
    </row>
    <row r="36" spans="1:21" x14ac:dyDescent="0.25">
      <c r="A36" s="57"/>
      <c r="B36" s="58"/>
      <c r="D36" s="50" t="str">
        <f t="shared" si="5"/>
        <v>Plumbing</v>
      </c>
      <c r="E36" s="16">
        <v>600</v>
      </c>
      <c r="F36" s="4">
        <f t="shared" si="6"/>
        <v>388</v>
      </c>
      <c r="G36" s="17">
        <f t="shared" si="1"/>
        <v>212</v>
      </c>
      <c r="H36" s="18">
        <f t="shared" si="2"/>
        <v>3.9225597735429406E-3</v>
      </c>
      <c r="I36" s="19">
        <f t="shared" si="3"/>
        <v>0.21283598464070214</v>
      </c>
    </row>
    <row r="37" spans="1:21" x14ac:dyDescent="0.25">
      <c r="A37" s="57"/>
      <c r="B37" s="58"/>
      <c r="D37" s="5" t="s">
        <v>49</v>
      </c>
      <c r="E37" s="34"/>
      <c r="G37" s="17"/>
      <c r="H37" s="18"/>
      <c r="I37" s="19"/>
    </row>
    <row r="38" spans="1:21" x14ac:dyDescent="0.25">
      <c r="A38" s="57"/>
      <c r="B38" s="58"/>
      <c r="D38" s="50" t="str">
        <f t="shared" ref="D38:D44" si="7">D17</f>
        <v>Landscaping</v>
      </c>
      <c r="E38" s="16">
        <v>2000</v>
      </c>
      <c r="F38" s="4">
        <f>H88</f>
        <v>2000</v>
      </c>
      <c r="G38" s="17">
        <f t="shared" si="1"/>
        <v>0</v>
      </c>
      <c r="H38" s="18">
        <f t="shared" si="2"/>
        <v>2.0219380275994542E-2</v>
      </c>
      <c r="I38" s="19">
        <f t="shared" si="3"/>
        <v>1.0970927043335161</v>
      </c>
    </row>
    <row r="39" spans="1:21" x14ac:dyDescent="0.25">
      <c r="A39" s="57"/>
      <c r="B39" s="58"/>
      <c r="D39" s="50" t="str">
        <f t="shared" si="7"/>
        <v>Siding</v>
      </c>
      <c r="E39" s="16">
        <v>3400</v>
      </c>
      <c r="F39" s="4">
        <f t="shared" ref="F39:F44" si="8">H89</f>
        <v>4178</v>
      </c>
      <c r="G39" s="17">
        <f t="shared" si="1"/>
        <v>-778</v>
      </c>
      <c r="H39" s="18">
        <f t="shared" si="2"/>
        <v>4.2238285396552597E-2</v>
      </c>
      <c r="I39" s="19">
        <f t="shared" si="3"/>
        <v>2.2918266593527155</v>
      </c>
    </row>
    <row r="40" spans="1:21" x14ac:dyDescent="0.25">
      <c r="A40" s="57"/>
      <c r="B40" s="58"/>
      <c r="D40" s="50" t="str">
        <f t="shared" si="7"/>
        <v>Painting</v>
      </c>
      <c r="E40" s="16">
        <v>500</v>
      </c>
      <c r="F40" s="4">
        <f t="shared" si="8"/>
        <v>500</v>
      </c>
      <c r="G40" s="17">
        <f t="shared" si="1"/>
        <v>0</v>
      </c>
      <c r="H40" s="18">
        <f t="shared" si="2"/>
        <v>5.0548450689986354E-3</v>
      </c>
      <c r="I40" s="19">
        <f t="shared" si="3"/>
        <v>0.27427317608337903</v>
      </c>
    </row>
    <row r="41" spans="1:21" x14ac:dyDescent="0.25">
      <c r="A41" s="57"/>
      <c r="B41" s="58"/>
      <c r="D41" s="50" t="str">
        <f t="shared" si="7"/>
        <v>Deck</v>
      </c>
      <c r="E41" s="16">
        <v>2700</v>
      </c>
      <c r="F41" s="4">
        <f t="shared" si="8"/>
        <v>2000</v>
      </c>
      <c r="G41" s="17">
        <f t="shared" si="1"/>
        <v>700</v>
      </c>
      <c r="H41" s="18">
        <f t="shared" si="2"/>
        <v>2.0219380275994542E-2</v>
      </c>
      <c r="I41" s="19">
        <f t="shared" si="3"/>
        <v>1.0970927043335161</v>
      </c>
    </row>
    <row r="42" spans="1:21" x14ac:dyDescent="0.25">
      <c r="A42" s="57"/>
      <c r="B42" s="58"/>
      <c r="D42" s="50" t="str">
        <f t="shared" si="7"/>
        <v>Fence</v>
      </c>
      <c r="E42" s="16">
        <v>1800</v>
      </c>
      <c r="F42" s="4">
        <f t="shared" si="8"/>
        <v>2250</v>
      </c>
      <c r="G42" s="17">
        <f t="shared" si="1"/>
        <v>-450</v>
      </c>
      <c r="H42" s="18">
        <f t="shared" si="2"/>
        <v>2.274680281049386E-2</v>
      </c>
      <c r="I42" s="19">
        <f t="shared" si="3"/>
        <v>1.2342292923752056</v>
      </c>
    </row>
    <row r="43" spans="1:21" x14ac:dyDescent="0.25">
      <c r="A43" s="57"/>
      <c r="B43" s="58"/>
      <c r="D43" s="50" t="str">
        <f t="shared" si="7"/>
        <v>Driveway</v>
      </c>
      <c r="E43" s="16"/>
      <c r="F43" s="4">
        <f t="shared" si="8"/>
        <v>0</v>
      </c>
      <c r="G43" s="17">
        <f t="shared" si="1"/>
        <v>0</v>
      </c>
      <c r="H43" s="18">
        <f t="shared" si="2"/>
        <v>0</v>
      </c>
      <c r="I43" s="19">
        <f t="shared" si="3"/>
        <v>0</v>
      </c>
    </row>
    <row r="44" spans="1:21" x14ac:dyDescent="0.25">
      <c r="A44" s="57"/>
      <c r="B44" s="58"/>
      <c r="D44" s="50" t="str">
        <f t="shared" si="7"/>
        <v>Roofing</v>
      </c>
      <c r="E44" s="16">
        <v>900</v>
      </c>
      <c r="F44" s="4">
        <f t="shared" si="8"/>
        <v>1055</v>
      </c>
      <c r="G44" s="17">
        <f t="shared" si="1"/>
        <v>-155</v>
      </c>
      <c r="H44" s="18">
        <f t="shared" si="2"/>
        <v>1.066572309558712E-2</v>
      </c>
      <c r="I44" s="19">
        <f t="shared" si="3"/>
        <v>0.57871640153592974</v>
      </c>
    </row>
    <row r="45" spans="1:21" ht="14.4" thickBot="1" x14ac:dyDescent="0.3">
      <c r="A45" s="57"/>
      <c r="B45" s="58"/>
      <c r="D45" s="38" t="s">
        <v>51</v>
      </c>
      <c r="E45" s="39">
        <f>SUM(E26:E44)</f>
        <v>45600</v>
      </c>
      <c r="F45" s="39">
        <f>SUM(F26:F44)</f>
        <v>49128</v>
      </c>
      <c r="G45" s="40">
        <f t="shared" si="1"/>
        <v>-3528</v>
      </c>
      <c r="H45" s="41">
        <f t="shared" si="2"/>
        <v>0.4966688570995299</v>
      </c>
      <c r="I45" s="42">
        <f t="shared" si="3"/>
        <v>26.948985189248493</v>
      </c>
    </row>
    <row r="46" spans="1:21" ht="15" thickTop="1" thickBot="1" x14ac:dyDescent="0.3">
      <c r="A46" s="57"/>
      <c r="B46" s="58"/>
      <c r="D46" s="59" t="s">
        <v>52</v>
      </c>
      <c r="E46" s="55">
        <f>E45+E24</f>
        <v>94910</v>
      </c>
      <c r="F46" s="55">
        <f>F45+F24</f>
        <v>98915</v>
      </c>
      <c r="G46" s="60">
        <f t="shared" si="1"/>
        <v>-4005</v>
      </c>
      <c r="H46" s="61"/>
      <c r="I46" s="62">
        <f t="shared" si="3"/>
        <v>54.259462424574878</v>
      </c>
    </row>
    <row r="47" spans="1:21" ht="15" thickTop="1" thickBot="1" x14ac:dyDescent="0.3">
      <c r="A47" s="63" t="s">
        <v>72</v>
      </c>
      <c r="B47" s="5"/>
      <c r="L47" s="64" t="s">
        <v>369</v>
      </c>
    </row>
    <row r="48" spans="1:21" s="72" customFormat="1" ht="28.2" thickBot="1" x14ac:dyDescent="0.3">
      <c r="A48" s="214" t="s">
        <v>0</v>
      </c>
      <c r="B48" s="215"/>
      <c r="C48" s="65" t="s">
        <v>1</v>
      </c>
      <c r="D48" s="66" t="s">
        <v>2</v>
      </c>
      <c r="E48" s="67" t="s">
        <v>55</v>
      </c>
      <c r="F48" s="68" t="s">
        <v>57</v>
      </c>
      <c r="G48" s="69" t="s">
        <v>5</v>
      </c>
      <c r="H48" s="66" t="s">
        <v>6</v>
      </c>
      <c r="I48" s="70" t="s">
        <v>3</v>
      </c>
      <c r="J48" s="68" t="s">
        <v>4</v>
      </c>
      <c r="K48" s="71"/>
      <c r="L48" s="214" t="s">
        <v>0</v>
      </c>
      <c r="M48" s="215"/>
      <c r="N48" s="65" t="s">
        <v>1</v>
      </c>
      <c r="O48" s="66" t="s">
        <v>2</v>
      </c>
      <c r="P48" s="67" t="s">
        <v>55</v>
      </c>
      <c r="Q48" s="68" t="s">
        <v>57</v>
      </c>
      <c r="R48" s="69" t="s">
        <v>5</v>
      </c>
      <c r="S48" s="66" t="s">
        <v>6</v>
      </c>
      <c r="T48" s="70" t="s">
        <v>3</v>
      </c>
      <c r="U48" s="68" t="s">
        <v>4</v>
      </c>
    </row>
    <row r="49" spans="1:21" x14ac:dyDescent="0.25">
      <c r="A49" s="216" t="s">
        <v>58</v>
      </c>
      <c r="B49" s="217"/>
      <c r="C49" s="73">
        <v>43842</v>
      </c>
      <c r="D49" s="74">
        <v>18000</v>
      </c>
      <c r="E49" s="75">
        <v>7.4899999999999994E-2</v>
      </c>
      <c r="F49" s="76">
        <v>6</v>
      </c>
      <c r="G49" s="77" t="s">
        <v>56</v>
      </c>
      <c r="H49" s="74">
        <f>(D49*E49/12)*F49</f>
        <v>674.09999999999991</v>
      </c>
      <c r="I49" s="78"/>
      <c r="J49" s="79"/>
      <c r="L49" s="218"/>
      <c r="M49" s="217"/>
      <c r="N49" s="73"/>
      <c r="O49" s="74"/>
      <c r="P49" s="75"/>
      <c r="Q49" s="76"/>
      <c r="R49" s="77"/>
      <c r="S49" s="74">
        <f>(O49*P49/12)*Q49</f>
        <v>0</v>
      </c>
      <c r="T49" s="78"/>
      <c r="U49" s="79"/>
    </row>
    <row r="50" spans="1:21" x14ac:dyDescent="0.25">
      <c r="A50" s="208" t="s">
        <v>59</v>
      </c>
      <c r="B50" s="209"/>
      <c r="C50" s="80">
        <v>43861</v>
      </c>
      <c r="D50" s="81">
        <v>3200</v>
      </c>
      <c r="E50" s="82">
        <v>0.19989999999999999</v>
      </c>
      <c r="F50" s="83">
        <v>5</v>
      </c>
      <c r="G50" s="84"/>
      <c r="H50" s="74">
        <f t="shared" ref="H50:H56" si="9">(D50*E50/12)*F50</f>
        <v>266.5333333333333</v>
      </c>
      <c r="I50" s="85"/>
      <c r="J50" s="86"/>
      <c r="L50" s="210"/>
      <c r="M50" s="209"/>
      <c r="N50" s="80"/>
      <c r="O50" s="81"/>
      <c r="P50" s="82"/>
      <c r="Q50" s="83"/>
      <c r="R50" s="84"/>
      <c r="S50" s="74">
        <f t="shared" ref="S50" si="10">(O50*P50/12)*Q50</f>
        <v>0</v>
      </c>
      <c r="T50" s="85"/>
      <c r="U50" s="86"/>
    </row>
    <row r="51" spans="1:21" x14ac:dyDescent="0.25">
      <c r="A51" s="208" t="s">
        <v>60</v>
      </c>
      <c r="B51" s="209"/>
      <c r="C51" s="80">
        <v>43889</v>
      </c>
      <c r="D51" s="81">
        <v>38000</v>
      </c>
      <c r="E51" s="82">
        <v>0.12</v>
      </c>
      <c r="F51" s="83">
        <v>5</v>
      </c>
      <c r="G51" s="84"/>
      <c r="H51" s="74">
        <f>(D51*E51/12)*F51</f>
        <v>1900</v>
      </c>
      <c r="I51" s="85"/>
      <c r="J51" s="86"/>
      <c r="L51" s="210"/>
      <c r="M51" s="209"/>
      <c r="N51" s="80"/>
      <c r="O51" s="81"/>
      <c r="P51" s="82"/>
      <c r="Q51" s="83"/>
      <c r="R51" s="84"/>
      <c r="S51" s="74">
        <f>(O51*P51/12)*Q51</f>
        <v>0</v>
      </c>
      <c r="T51" s="85"/>
      <c r="U51" s="86"/>
    </row>
    <row r="52" spans="1:21" x14ac:dyDescent="0.25">
      <c r="A52" s="208" t="s">
        <v>59</v>
      </c>
      <c r="B52" s="209"/>
      <c r="C52" s="80">
        <v>43889</v>
      </c>
      <c r="D52" s="81">
        <v>750</v>
      </c>
      <c r="E52" s="82">
        <v>0.19989999999999999</v>
      </c>
      <c r="F52" s="83">
        <v>3</v>
      </c>
      <c r="G52" s="84"/>
      <c r="H52" s="74">
        <f t="shared" si="9"/>
        <v>37.481249999999996</v>
      </c>
      <c r="I52" s="85"/>
      <c r="J52" s="86"/>
      <c r="L52" s="210"/>
      <c r="M52" s="209"/>
      <c r="N52" s="80"/>
      <c r="O52" s="81"/>
      <c r="P52" s="82"/>
      <c r="Q52" s="83"/>
      <c r="R52" s="84"/>
      <c r="S52" s="74">
        <f t="shared" ref="S52:S56" si="11">(O52*P52/12)*Q52</f>
        <v>0</v>
      </c>
      <c r="T52" s="85"/>
      <c r="U52" s="86"/>
    </row>
    <row r="53" spans="1:21" x14ac:dyDescent="0.25">
      <c r="A53" s="208" t="s">
        <v>58</v>
      </c>
      <c r="B53" s="209"/>
      <c r="C53" s="80">
        <v>43900</v>
      </c>
      <c r="D53" s="81">
        <v>4000</v>
      </c>
      <c r="E53" s="82">
        <v>7.4899999999999994E-2</v>
      </c>
      <c r="F53" s="83">
        <v>3</v>
      </c>
      <c r="G53" s="84"/>
      <c r="H53" s="74">
        <f t="shared" si="9"/>
        <v>74.899999999999991</v>
      </c>
      <c r="I53" s="85"/>
      <c r="J53" s="86"/>
      <c r="L53" s="210"/>
      <c r="M53" s="209"/>
      <c r="N53" s="80"/>
      <c r="O53" s="81"/>
      <c r="P53" s="82"/>
      <c r="Q53" s="83"/>
      <c r="R53" s="84"/>
      <c r="S53" s="74">
        <f t="shared" si="11"/>
        <v>0</v>
      </c>
      <c r="T53" s="85"/>
      <c r="U53" s="86"/>
    </row>
    <row r="54" spans="1:21" x14ac:dyDescent="0.25">
      <c r="A54" s="208" t="s">
        <v>59</v>
      </c>
      <c r="B54" s="209"/>
      <c r="C54" s="80">
        <v>43921</v>
      </c>
      <c r="D54" s="81">
        <v>1000</v>
      </c>
      <c r="E54" s="82">
        <v>0.19989999999999999</v>
      </c>
      <c r="F54" s="83">
        <v>2</v>
      </c>
      <c r="G54" s="84"/>
      <c r="H54" s="81">
        <f t="shared" si="9"/>
        <v>33.31666666666667</v>
      </c>
      <c r="I54" s="85"/>
      <c r="J54" s="86"/>
      <c r="L54" s="210"/>
      <c r="M54" s="209"/>
      <c r="N54" s="80"/>
      <c r="O54" s="81"/>
      <c r="P54" s="82"/>
      <c r="Q54" s="83"/>
      <c r="R54" s="84"/>
      <c r="S54" s="81">
        <f t="shared" si="11"/>
        <v>0</v>
      </c>
      <c r="T54" s="85"/>
      <c r="U54" s="86"/>
    </row>
    <row r="55" spans="1:21" x14ac:dyDescent="0.25">
      <c r="A55" s="208"/>
      <c r="B55" s="209"/>
      <c r="C55" s="87"/>
      <c r="D55" s="81"/>
      <c r="E55" s="82"/>
      <c r="F55" s="83"/>
      <c r="G55" s="88"/>
      <c r="H55" s="81">
        <f t="shared" si="9"/>
        <v>0</v>
      </c>
      <c r="I55" s="85"/>
      <c r="J55" s="86"/>
      <c r="L55" s="210"/>
      <c r="M55" s="209"/>
      <c r="N55" s="87"/>
      <c r="O55" s="81"/>
      <c r="P55" s="82"/>
      <c r="Q55" s="83"/>
      <c r="R55" s="88"/>
      <c r="S55" s="81">
        <f t="shared" si="11"/>
        <v>0</v>
      </c>
      <c r="T55" s="85"/>
      <c r="U55" s="86"/>
    </row>
    <row r="56" spans="1:21" ht="14.4" thickBot="1" x14ac:dyDescent="0.3">
      <c r="A56" s="202"/>
      <c r="B56" s="203"/>
      <c r="C56" s="89"/>
      <c r="D56" s="90"/>
      <c r="E56" s="91"/>
      <c r="F56" s="92"/>
      <c r="G56" s="84"/>
      <c r="H56" s="81">
        <f t="shared" si="9"/>
        <v>0</v>
      </c>
      <c r="I56" s="85"/>
      <c r="J56" s="86"/>
      <c r="L56" s="204"/>
      <c r="M56" s="203"/>
      <c r="N56" s="93"/>
      <c r="O56" s="94"/>
      <c r="P56" s="95"/>
      <c r="Q56" s="96"/>
      <c r="R56" s="97"/>
      <c r="S56" s="94">
        <f t="shared" si="11"/>
        <v>0</v>
      </c>
      <c r="T56" s="98"/>
      <c r="U56" s="99"/>
    </row>
    <row r="57" spans="1:21" ht="14.4" x14ac:dyDescent="0.3">
      <c r="A57" s="181" t="s">
        <v>370</v>
      </c>
      <c r="B57" s="57"/>
      <c r="C57" s="101" t="s">
        <v>7</v>
      </c>
      <c r="D57" s="102">
        <f>SUM(D49:D56,O49:O56)</f>
        <v>64950</v>
      </c>
      <c r="E57" s="103"/>
      <c r="F57" s="104"/>
      <c r="G57" s="205" t="s">
        <v>62</v>
      </c>
      <c r="H57" s="206"/>
      <c r="I57" s="206"/>
      <c r="J57" s="207"/>
    </row>
    <row r="58" spans="1:21" ht="14.4" thickBot="1" x14ac:dyDescent="0.3">
      <c r="B58" s="5"/>
      <c r="C58" s="105"/>
      <c r="D58" s="94"/>
      <c r="E58" s="98"/>
      <c r="F58" s="106"/>
      <c r="G58" s="107" t="str">
        <f t="shared" ref="G58:G68" si="12">D5</f>
        <v>Demolition</v>
      </c>
      <c r="H58" s="81">
        <f>G122</f>
        <v>3000</v>
      </c>
      <c r="I58" s="85"/>
      <c r="J58" s="86">
        <f>H58*5%</f>
        <v>150</v>
      </c>
    </row>
    <row r="59" spans="1:21" x14ac:dyDescent="0.25">
      <c r="B59" s="5"/>
      <c r="E59" s="5"/>
      <c r="F59" s="5"/>
      <c r="G59" s="108" t="str">
        <f t="shared" si="12"/>
        <v>Framing</v>
      </c>
      <c r="H59" s="81">
        <f>G147</f>
        <v>4034</v>
      </c>
      <c r="I59" s="85"/>
      <c r="J59" s="86">
        <f t="shared" ref="J59:J83" si="13">(H59*0.05)</f>
        <v>201.70000000000002</v>
      </c>
    </row>
    <row r="60" spans="1:21" ht="14.4" x14ac:dyDescent="0.3">
      <c r="A60" s="191" t="s">
        <v>371</v>
      </c>
      <c r="B60" s="5"/>
      <c r="E60" s="5"/>
      <c r="F60" s="5"/>
      <c r="G60" s="108" t="str">
        <f t="shared" si="12"/>
        <v>Drywall, tape&amp;mudding</v>
      </c>
      <c r="H60" s="81">
        <f>G172</f>
        <v>2560</v>
      </c>
      <c r="I60" s="85"/>
      <c r="J60" s="86">
        <f t="shared" si="13"/>
        <v>128</v>
      </c>
      <c r="M60" s="19"/>
      <c r="N60" s="19"/>
      <c r="O60" s="110"/>
    </row>
    <row r="61" spans="1:21" x14ac:dyDescent="0.25">
      <c r="B61" s="5"/>
      <c r="E61" s="5"/>
      <c r="F61" s="5"/>
      <c r="G61" s="108" t="str">
        <f t="shared" si="12"/>
        <v>Painting</v>
      </c>
      <c r="H61" s="81">
        <f>G197</f>
        <v>2040</v>
      </c>
      <c r="I61" s="85"/>
      <c r="J61" s="86">
        <f t="shared" si="13"/>
        <v>102</v>
      </c>
    </row>
    <row r="62" spans="1:21" x14ac:dyDescent="0.25">
      <c r="B62" s="5"/>
      <c r="E62" s="5"/>
      <c r="F62" s="5"/>
      <c r="G62" s="108" t="str">
        <f t="shared" si="12"/>
        <v>Finish Carpentry</v>
      </c>
      <c r="H62" s="81">
        <f>G222</f>
        <v>4603</v>
      </c>
      <c r="I62" s="85"/>
      <c r="J62" s="86">
        <f t="shared" si="13"/>
        <v>230.15</v>
      </c>
    </row>
    <row r="63" spans="1:21" x14ac:dyDescent="0.25">
      <c r="B63" s="5"/>
      <c r="E63" s="5"/>
      <c r="F63" s="5"/>
      <c r="G63" s="108" t="str">
        <f t="shared" si="12"/>
        <v>Kitchen cabinet</v>
      </c>
      <c r="H63" s="81">
        <f>G247</f>
        <v>6560</v>
      </c>
      <c r="I63" s="85"/>
      <c r="J63" s="86">
        <f t="shared" si="13"/>
        <v>328</v>
      </c>
    </row>
    <row r="64" spans="1:21" x14ac:dyDescent="0.25">
      <c r="B64" s="5"/>
      <c r="E64" s="5"/>
      <c r="F64" s="5"/>
      <c r="G64" s="108" t="str">
        <f t="shared" si="12"/>
        <v>Bathroom</v>
      </c>
      <c r="H64" s="81">
        <f>G272</f>
        <v>3260</v>
      </c>
      <c r="I64" s="85"/>
      <c r="J64" s="86">
        <f t="shared" si="13"/>
        <v>163</v>
      </c>
    </row>
    <row r="65" spans="2:10" x14ac:dyDescent="0.25">
      <c r="B65" s="5"/>
      <c r="E65" s="5"/>
      <c r="F65" s="5"/>
      <c r="G65" s="108" t="str">
        <f t="shared" si="12"/>
        <v>Floorinng, tiling</v>
      </c>
      <c r="H65" s="81">
        <f>G297</f>
        <v>3500</v>
      </c>
      <c r="I65" s="85"/>
      <c r="J65" s="86">
        <f t="shared" si="13"/>
        <v>175</v>
      </c>
    </row>
    <row r="66" spans="2:10" x14ac:dyDescent="0.25">
      <c r="B66" s="5"/>
      <c r="E66" s="5"/>
      <c r="F66" s="5"/>
      <c r="G66" s="108" t="str">
        <f t="shared" si="12"/>
        <v>HVAC</v>
      </c>
      <c r="H66" s="81">
        <f>G322</f>
        <v>2900</v>
      </c>
      <c r="I66" s="85"/>
      <c r="J66" s="86">
        <f t="shared" si="13"/>
        <v>145</v>
      </c>
    </row>
    <row r="67" spans="2:10" x14ac:dyDescent="0.25">
      <c r="B67" s="5"/>
      <c r="E67" s="5"/>
      <c r="F67" s="5"/>
      <c r="G67" s="108" t="str">
        <f t="shared" si="12"/>
        <v>Electriccal</v>
      </c>
      <c r="H67" s="81">
        <f>G347</f>
        <v>2560</v>
      </c>
      <c r="I67" s="85"/>
      <c r="J67" s="86">
        <f t="shared" si="13"/>
        <v>128</v>
      </c>
    </row>
    <row r="68" spans="2:10" x14ac:dyDescent="0.25">
      <c r="B68" s="5"/>
      <c r="E68" s="5"/>
      <c r="F68" s="5"/>
      <c r="G68" s="108" t="str">
        <f t="shared" si="12"/>
        <v>Plumbing</v>
      </c>
      <c r="H68" s="81">
        <f>G372</f>
        <v>2680</v>
      </c>
      <c r="I68" s="85"/>
      <c r="J68" s="86">
        <f t="shared" si="13"/>
        <v>134</v>
      </c>
    </row>
    <row r="69" spans="2:10" x14ac:dyDescent="0.25">
      <c r="B69" s="5"/>
      <c r="E69" s="5"/>
      <c r="F69" s="5"/>
      <c r="G69" s="108" t="str">
        <f t="shared" ref="G69:G75" si="14">D17</f>
        <v>Landscaping</v>
      </c>
      <c r="H69" s="81">
        <f>G397</f>
        <v>3000</v>
      </c>
      <c r="I69" s="85"/>
      <c r="J69" s="86">
        <f t="shared" si="13"/>
        <v>150</v>
      </c>
    </row>
    <row r="70" spans="2:10" x14ac:dyDescent="0.25">
      <c r="B70" s="5"/>
      <c r="E70" s="5"/>
      <c r="F70" s="5"/>
      <c r="G70" s="108" t="str">
        <f t="shared" si="14"/>
        <v>Siding</v>
      </c>
      <c r="H70" s="81">
        <f>G422</f>
        <v>3500</v>
      </c>
      <c r="I70" s="85"/>
      <c r="J70" s="86">
        <f t="shared" si="13"/>
        <v>175</v>
      </c>
    </row>
    <row r="71" spans="2:10" x14ac:dyDescent="0.25">
      <c r="B71" s="5"/>
      <c r="E71" s="5"/>
      <c r="F71" s="5"/>
      <c r="G71" s="108" t="str">
        <f t="shared" si="14"/>
        <v>Painting</v>
      </c>
      <c r="H71" s="81">
        <f>G447</f>
        <v>1200</v>
      </c>
      <c r="I71" s="85"/>
      <c r="J71" s="86">
        <f t="shared" si="13"/>
        <v>60</v>
      </c>
    </row>
    <row r="72" spans="2:10" x14ac:dyDescent="0.25">
      <c r="B72" s="5"/>
      <c r="E72" s="5"/>
      <c r="F72" s="5"/>
      <c r="G72" s="108" t="str">
        <f t="shared" si="14"/>
        <v>Deck</v>
      </c>
      <c r="H72" s="81">
        <f>G472</f>
        <v>1500</v>
      </c>
      <c r="I72" s="85"/>
      <c r="J72" s="86">
        <f t="shared" si="13"/>
        <v>75</v>
      </c>
    </row>
    <row r="73" spans="2:10" x14ac:dyDescent="0.25">
      <c r="B73" s="5"/>
      <c r="E73" s="5"/>
      <c r="F73" s="5"/>
      <c r="G73" s="111" t="str">
        <f t="shared" si="14"/>
        <v>Fence</v>
      </c>
      <c r="H73" s="90">
        <f>G497</f>
        <v>1890</v>
      </c>
      <c r="I73" s="85"/>
      <c r="J73" s="86">
        <f t="shared" si="13"/>
        <v>94.5</v>
      </c>
    </row>
    <row r="74" spans="2:10" x14ac:dyDescent="0.25">
      <c r="B74" s="5"/>
      <c r="E74" s="5"/>
      <c r="F74" s="5"/>
      <c r="G74" s="111" t="str">
        <f t="shared" si="14"/>
        <v>Driveway</v>
      </c>
      <c r="H74" s="90">
        <f>G522</f>
        <v>0</v>
      </c>
      <c r="I74" s="85"/>
      <c r="J74" s="86">
        <f t="shared" si="13"/>
        <v>0</v>
      </c>
    </row>
    <row r="75" spans="2:10" x14ac:dyDescent="0.25">
      <c r="B75" s="5"/>
      <c r="E75" s="5"/>
      <c r="F75" s="5"/>
      <c r="G75" s="111" t="str">
        <f t="shared" si="14"/>
        <v>Roofing</v>
      </c>
      <c r="H75" s="90">
        <f>G547</f>
        <v>1000</v>
      </c>
      <c r="I75" s="85"/>
      <c r="J75" s="86">
        <f t="shared" si="13"/>
        <v>50</v>
      </c>
    </row>
    <row r="76" spans="2:10" x14ac:dyDescent="0.25">
      <c r="B76" s="5"/>
      <c r="E76" s="5"/>
      <c r="F76" s="5"/>
      <c r="G76" s="205" t="s">
        <v>63</v>
      </c>
      <c r="H76" s="206"/>
      <c r="I76" s="206"/>
      <c r="J76" s="207"/>
    </row>
    <row r="77" spans="2:10" x14ac:dyDescent="0.25">
      <c r="B77" s="5"/>
      <c r="E77" s="5"/>
      <c r="F77" s="5"/>
      <c r="G77" s="112" t="str">
        <f t="shared" ref="G77:G87" si="15">D26</f>
        <v>Demolition</v>
      </c>
      <c r="H77" s="90">
        <f>G138</f>
        <v>650</v>
      </c>
      <c r="I77" s="85">
        <f t="shared" ref="I77:I83" si="16">(H77*0.07)</f>
        <v>45.500000000000007</v>
      </c>
      <c r="J77" s="86">
        <f t="shared" si="13"/>
        <v>32.5</v>
      </c>
    </row>
    <row r="78" spans="2:10" x14ac:dyDescent="0.25">
      <c r="B78" s="5"/>
      <c r="E78" s="5"/>
      <c r="F78" s="5"/>
      <c r="G78" s="111" t="str">
        <f t="shared" si="15"/>
        <v>Framing</v>
      </c>
      <c r="H78" s="90">
        <f>G163</f>
        <v>6174</v>
      </c>
      <c r="I78" s="85">
        <f t="shared" si="16"/>
        <v>432.18000000000006</v>
      </c>
      <c r="J78" s="86">
        <f t="shared" si="13"/>
        <v>308.70000000000005</v>
      </c>
    </row>
    <row r="79" spans="2:10" x14ac:dyDescent="0.25">
      <c r="B79" s="5"/>
      <c r="E79" s="5"/>
      <c r="F79" s="5"/>
      <c r="G79" s="111" t="str">
        <f t="shared" si="15"/>
        <v>Drywall, tape&amp;mudding</v>
      </c>
      <c r="H79" s="90">
        <f>G188</f>
        <v>3756</v>
      </c>
      <c r="I79" s="85">
        <f t="shared" si="16"/>
        <v>262.92</v>
      </c>
      <c r="J79" s="86">
        <f t="shared" si="13"/>
        <v>187.8</v>
      </c>
    </row>
    <row r="80" spans="2:10" x14ac:dyDescent="0.25">
      <c r="B80" s="5"/>
      <c r="E80" s="5"/>
      <c r="F80" s="5"/>
      <c r="G80" s="111" t="str">
        <f t="shared" si="15"/>
        <v>Painting</v>
      </c>
      <c r="H80" s="90">
        <f>G213</f>
        <v>792</v>
      </c>
      <c r="I80" s="85">
        <f t="shared" si="16"/>
        <v>55.440000000000005</v>
      </c>
      <c r="J80" s="86">
        <f t="shared" si="13"/>
        <v>39.6</v>
      </c>
    </row>
    <row r="81" spans="2:12" x14ac:dyDescent="0.25">
      <c r="B81" s="5"/>
      <c r="E81" s="5"/>
      <c r="F81" s="5"/>
      <c r="G81" s="111" t="str">
        <f t="shared" si="15"/>
        <v>Finish Carpentry</v>
      </c>
      <c r="H81" s="90">
        <f>G238</f>
        <v>4227</v>
      </c>
      <c r="I81" s="85">
        <f t="shared" si="16"/>
        <v>295.89000000000004</v>
      </c>
      <c r="J81" s="113">
        <f t="shared" si="13"/>
        <v>211.35000000000002</v>
      </c>
    </row>
    <row r="82" spans="2:12" x14ac:dyDescent="0.25">
      <c r="B82" s="5"/>
      <c r="E82" s="5"/>
      <c r="F82" s="5"/>
      <c r="G82" s="111" t="str">
        <f t="shared" si="15"/>
        <v>Kitchen cabinet</v>
      </c>
      <c r="H82" s="90">
        <f>G263</f>
        <v>12000</v>
      </c>
      <c r="I82" s="85">
        <f t="shared" si="16"/>
        <v>840.00000000000011</v>
      </c>
      <c r="J82" s="113">
        <f t="shared" si="13"/>
        <v>600</v>
      </c>
    </row>
    <row r="83" spans="2:12" x14ac:dyDescent="0.25">
      <c r="B83" s="5"/>
      <c r="E83" s="5"/>
      <c r="F83" s="5"/>
      <c r="G83" s="111" t="str">
        <f t="shared" si="15"/>
        <v>Bathroom</v>
      </c>
      <c r="H83" s="90">
        <f>G288</f>
        <v>2518</v>
      </c>
      <c r="I83" s="85">
        <f t="shared" si="16"/>
        <v>176.26000000000002</v>
      </c>
      <c r="J83" s="113">
        <f t="shared" si="13"/>
        <v>125.9</v>
      </c>
    </row>
    <row r="84" spans="2:12" x14ac:dyDescent="0.25">
      <c r="B84" s="5"/>
      <c r="E84" s="5"/>
      <c r="F84" s="5"/>
      <c r="G84" s="111" t="str">
        <f t="shared" si="15"/>
        <v>Floorinng, tiling</v>
      </c>
      <c r="H84" s="90">
        <f>G313</f>
        <v>5678</v>
      </c>
      <c r="I84" s="114">
        <f>H84*7%</f>
        <v>397.46000000000004</v>
      </c>
      <c r="J84" s="113">
        <f>H84*5%</f>
        <v>283.90000000000003</v>
      </c>
    </row>
    <row r="85" spans="2:12" x14ac:dyDescent="0.25">
      <c r="B85" s="5"/>
      <c r="E85" s="5"/>
      <c r="F85" s="5"/>
      <c r="G85" s="111" t="str">
        <f t="shared" si="15"/>
        <v>HVAC</v>
      </c>
      <c r="H85" s="90">
        <f>G338</f>
        <v>350</v>
      </c>
      <c r="I85" s="114">
        <f t="shared" ref="I85:I87" si="17">H85*7%</f>
        <v>24.500000000000004</v>
      </c>
      <c r="J85" s="113">
        <f t="shared" ref="J85:J87" si="18">H85*5%</f>
        <v>17.5</v>
      </c>
    </row>
    <row r="86" spans="2:12" x14ac:dyDescent="0.25">
      <c r="B86" s="5"/>
      <c r="E86" s="5"/>
      <c r="F86" s="5"/>
      <c r="G86" s="111" t="str">
        <f t="shared" si="15"/>
        <v>Electriccal</v>
      </c>
      <c r="H86" s="90">
        <f>G363</f>
        <v>612</v>
      </c>
      <c r="I86" s="114">
        <f t="shared" si="17"/>
        <v>42.84</v>
      </c>
      <c r="J86" s="113">
        <f t="shared" si="18"/>
        <v>30.6</v>
      </c>
    </row>
    <row r="87" spans="2:12" x14ac:dyDescent="0.25">
      <c r="B87" s="5"/>
      <c r="E87" s="5"/>
      <c r="F87" s="5"/>
      <c r="G87" s="111" t="str">
        <f t="shared" si="15"/>
        <v>Plumbing</v>
      </c>
      <c r="H87" s="90">
        <f>G388</f>
        <v>388</v>
      </c>
      <c r="I87" s="114">
        <f t="shared" si="17"/>
        <v>27.160000000000004</v>
      </c>
      <c r="J87" s="113">
        <f t="shared" si="18"/>
        <v>19.400000000000002</v>
      </c>
    </row>
    <row r="88" spans="2:12" x14ac:dyDescent="0.25">
      <c r="B88" s="5"/>
      <c r="E88" s="5"/>
      <c r="F88" s="5"/>
      <c r="G88" s="111" t="str">
        <f t="shared" ref="G88:G94" si="19">D38</f>
        <v>Landscaping</v>
      </c>
      <c r="H88" s="90">
        <f>G413</f>
        <v>2000</v>
      </c>
      <c r="I88" s="114">
        <f t="shared" ref="I88:I94" si="20">H88*7%</f>
        <v>140</v>
      </c>
      <c r="J88" s="113">
        <f t="shared" ref="J88:J94" si="21">H88*5%</f>
        <v>100</v>
      </c>
    </row>
    <row r="89" spans="2:12" x14ac:dyDescent="0.25">
      <c r="B89" s="5"/>
      <c r="E89" s="5"/>
      <c r="F89" s="5"/>
      <c r="G89" s="111" t="str">
        <f t="shared" si="19"/>
        <v>Siding</v>
      </c>
      <c r="H89" s="90">
        <f>G438</f>
        <v>4178</v>
      </c>
      <c r="I89" s="114">
        <f t="shared" si="20"/>
        <v>292.46000000000004</v>
      </c>
      <c r="J89" s="113">
        <f t="shared" si="21"/>
        <v>208.9</v>
      </c>
    </row>
    <row r="90" spans="2:12" x14ac:dyDescent="0.25">
      <c r="B90" s="5"/>
      <c r="E90" s="5"/>
      <c r="F90" s="5"/>
      <c r="G90" s="111" t="str">
        <f t="shared" si="19"/>
        <v>Painting</v>
      </c>
      <c r="H90" s="90">
        <f>G463</f>
        <v>500</v>
      </c>
      <c r="I90" s="114">
        <f t="shared" si="20"/>
        <v>35</v>
      </c>
      <c r="J90" s="113">
        <f t="shared" si="21"/>
        <v>25</v>
      </c>
    </row>
    <row r="91" spans="2:12" x14ac:dyDescent="0.25">
      <c r="B91" s="5"/>
      <c r="E91" s="5"/>
      <c r="F91" s="5"/>
      <c r="G91" s="108" t="str">
        <f t="shared" si="19"/>
        <v>Deck</v>
      </c>
      <c r="H91" s="90">
        <f>G488</f>
        <v>2000</v>
      </c>
      <c r="I91" s="114">
        <f t="shared" si="20"/>
        <v>140</v>
      </c>
      <c r="J91" s="113">
        <f t="shared" si="21"/>
        <v>100</v>
      </c>
    </row>
    <row r="92" spans="2:12" x14ac:dyDescent="0.25">
      <c r="B92" s="5"/>
      <c r="E92" s="5"/>
      <c r="F92" s="57"/>
      <c r="G92" s="108" t="str">
        <f t="shared" si="19"/>
        <v>Fence</v>
      </c>
      <c r="H92" s="85">
        <f>G513</f>
        <v>2250</v>
      </c>
      <c r="I92" s="114">
        <f t="shared" si="20"/>
        <v>157.50000000000003</v>
      </c>
      <c r="J92" s="86">
        <f t="shared" si="21"/>
        <v>112.5</v>
      </c>
    </row>
    <row r="93" spans="2:12" x14ac:dyDescent="0.25">
      <c r="B93" s="5"/>
      <c r="E93" s="5"/>
      <c r="F93" s="57"/>
      <c r="G93" s="108" t="str">
        <f t="shared" si="19"/>
        <v>Driveway</v>
      </c>
      <c r="H93" s="85">
        <f>G538</f>
        <v>0</v>
      </c>
      <c r="I93" s="114">
        <f t="shared" si="20"/>
        <v>0</v>
      </c>
      <c r="J93" s="113">
        <f t="shared" si="21"/>
        <v>0</v>
      </c>
      <c r="K93" s="115"/>
      <c r="L93" s="57"/>
    </row>
    <row r="94" spans="2:12" ht="14.4" thickBot="1" x14ac:dyDescent="0.3">
      <c r="B94" s="5"/>
      <c r="E94" s="5"/>
      <c r="F94" s="57"/>
      <c r="G94" s="111" t="str">
        <f t="shared" si="19"/>
        <v>Roofing</v>
      </c>
      <c r="H94" s="114">
        <f>G563</f>
        <v>1055</v>
      </c>
      <c r="I94" s="114">
        <f t="shared" si="20"/>
        <v>73.850000000000009</v>
      </c>
      <c r="J94" s="113">
        <f t="shared" si="21"/>
        <v>52.75</v>
      </c>
      <c r="K94" s="115"/>
      <c r="L94" s="57"/>
    </row>
    <row r="95" spans="2:12" x14ac:dyDescent="0.25">
      <c r="B95" s="5"/>
      <c r="E95" s="5"/>
      <c r="F95" s="57"/>
      <c r="G95" s="116" t="s">
        <v>61</v>
      </c>
      <c r="H95" s="117">
        <f>SUM(H49:H56,S49:S56)</f>
        <v>2986.3312499999997</v>
      </c>
      <c r="I95" s="117"/>
      <c r="J95" s="104"/>
      <c r="K95" s="115"/>
      <c r="L95" s="57"/>
    </row>
    <row r="96" spans="2:12" x14ac:dyDescent="0.25">
      <c r="B96" s="5"/>
      <c r="G96" s="84" t="s">
        <v>76</v>
      </c>
      <c r="H96" s="85">
        <f>SUM(H58:H75)</f>
        <v>49787</v>
      </c>
      <c r="I96" s="118"/>
      <c r="J96" s="86">
        <f>SUM(J58:J94)</f>
        <v>4945.75</v>
      </c>
      <c r="K96" s="19"/>
    </row>
    <row r="97" spans="2:11" ht="14.4" thickBot="1" x14ac:dyDescent="0.3">
      <c r="B97" s="5"/>
      <c r="G97" s="119" t="s">
        <v>77</v>
      </c>
      <c r="H97" s="98">
        <f>SUM(H77:H94)</f>
        <v>49128</v>
      </c>
      <c r="I97" s="98">
        <f>SUM(I77:I94)</f>
        <v>3438.9600000000005</v>
      </c>
      <c r="J97" s="99">
        <f>H97*5%</f>
        <v>2456.4</v>
      </c>
      <c r="K97" s="19"/>
    </row>
    <row r="98" spans="2:11" ht="15" thickBot="1" x14ac:dyDescent="0.35">
      <c r="B98" s="5"/>
      <c r="E98" s="185" t="s">
        <v>79</v>
      </c>
      <c r="F98" s="5"/>
      <c r="G98" s="120" t="s">
        <v>78</v>
      </c>
      <c r="H98" s="121">
        <f>SUM(H95:H97)</f>
        <v>101901.33125</v>
      </c>
      <c r="I98" s="122">
        <f>SUM(I95:I97)</f>
        <v>3438.9600000000005</v>
      </c>
      <c r="J98" s="123">
        <f>SUM(J96:J97)</f>
        <v>7402.15</v>
      </c>
      <c r="K98" s="19"/>
    </row>
    <row r="99" spans="2:11" x14ac:dyDescent="0.25">
      <c r="B99" s="5"/>
      <c r="E99" s="5"/>
      <c r="F99" s="57"/>
      <c r="K99" s="19"/>
    </row>
    <row r="100" spans="2:11" x14ac:dyDescent="0.25">
      <c r="B100" s="5"/>
      <c r="D100" s="19"/>
      <c r="E100" s="19"/>
      <c r="F100" s="115"/>
      <c r="K100" s="19"/>
    </row>
    <row r="101" spans="2:11" x14ac:dyDescent="0.25">
      <c r="B101" s="5"/>
      <c r="D101" s="19"/>
      <c r="E101" s="19"/>
      <c r="F101" s="115"/>
      <c r="K101" s="19"/>
    </row>
    <row r="102" spans="2:11" x14ac:dyDescent="0.25">
      <c r="B102" s="5"/>
      <c r="D102" s="19"/>
      <c r="E102" s="19"/>
      <c r="F102" s="115"/>
      <c r="K102" s="19"/>
    </row>
    <row r="103" spans="2:11" x14ac:dyDescent="0.25">
      <c r="B103" s="5"/>
      <c r="D103" s="19"/>
      <c r="E103" s="19"/>
      <c r="F103" s="115"/>
      <c r="K103" s="19"/>
    </row>
    <row r="104" spans="2:11" x14ac:dyDescent="0.25">
      <c r="B104" s="5"/>
      <c r="D104" s="19"/>
      <c r="E104" s="19"/>
      <c r="F104" s="115"/>
      <c r="K104" s="19"/>
    </row>
    <row r="105" spans="2:11" x14ac:dyDescent="0.25">
      <c r="B105" s="5"/>
      <c r="D105" s="19"/>
      <c r="E105" s="19"/>
      <c r="F105" s="115"/>
      <c r="K105" s="19"/>
    </row>
    <row r="106" spans="2:11" x14ac:dyDescent="0.25">
      <c r="B106" s="5"/>
      <c r="D106" s="19"/>
      <c r="E106" s="19"/>
      <c r="F106" s="115"/>
      <c r="K106" s="19"/>
    </row>
    <row r="107" spans="2:11" x14ac:dyDescent="0.25">
      <c r="B107" s="5"/>
      <c r="D107" s="19"/>
      <c r="E107" s="19"/>
      <c r="F107" s="115"/>
      <c r="K107" s="19"/>
    </row>
    <row r="108" spans="2:11" x14ac:dyDescent="0.25">
      <c r="B108" s="5"/>
      <c r="D108" s="19"/>
      <c r="E108" s="19"/>
      <c r="F108" s="115"/>
      <c r="K108" s="19"/>
    </row>
    <row r="109" spans="2:11" x14ac:dyDescent="0.25">
      <c r="B109" s="5"/>
      <c r="D109" s="19"/>
      <c r="E109" s="19"/>
      <c r="F109" s="115"/>
      <c r="K109" s="19"/>
    </row>
    <row r="110" spans="2:11" x14ac:dyDescent="0.25">
      <c r="B110" s="5"/>
      <c r="D110" s="19"/>
      <c r="E110" s="19"/>
      <c r="F110" s="115"/>
      <c r="K110" s="19"/>
    </row>
    <row r="111" spans="2:11" x14ac:dyDescent="0.25">
      <c r="B111" s="5"/>
      <c r="D111" s="19"/>
      <c r="E111" s="19"/>
      <c r="F111" s="115"/>
      <c r="K111" s="19"/>
    </row>
    <row r="112" spans="2:11" x14ac:dyDescent="0.25">
      <c r="B112" s="5"/>
      <c r="D112" s="19"/>
      <c r="E112" s="19"/>
      <c r="F112" s="115"/>
      <c r="K112" s="19"/>
    </row>
    <row r="113" spans="1:11" x14ac:dyDescent="0.25">
      <c r="B113" s="5"/>
      <c r="D113" s="19"/>
      <c r="E113" s="19"/>
      <c r="F113" s="115"/>
      <c r="K113" s="19"/>
    </row>
    <row r="114" spans="1:11" x14ac:dyDescent="0.25">
      <c r="B114" s="5"/>
      <c r="D114" s="19"/>
      <c r="E114" s="19"/>
      <c r="F114" s="115"/>
      <c r="K114" s="19"/>
    </row>
    <row r="115" spans="1:11" ht="18" thickBot="1" x14ac:dyDescent="0.35">
      <c r="B115" s="5"/>
      <c r="C115" s="184" t="str">
        <f>G58</f>
        <v>Demolition</v>
      </c>
      <c r="E115" s="5"/>
      <c r="F115" s="57"/>
    </row>
    <row r="116" spans="1:11" ht="15" thickBot="1" x14ac:dyDescent="0.35">
      <c r="A116" s="185" t="s">
        <v>72</v>
      </c>
      <c r="C116" s="196" t="s">
        <v>0</v>
      </c>
      <c r="D116" s="197"/>
      <c r="E116" s="197"/>
      <c r="F116" s="125" t="s">
        <v>1</v>
      </c>
      <c r="G116" s="126" t="s">
        <v>73</v>
      </c>
      <c r="H116" s="126" t="s">
        <v>83</v>
      </c>
      <c r="I116" s="125" t="s">
        <v>3</v>
      </c>
      <c r="J116" s="127" t="s">
        <v>4</v>
      </c>
    </row>
    <row r="117" spans="1:11" x14ac:dyDescent="0.25">
      <c r="C117" s="198" t="s">
        <v>74</v>
      </c>
      <c r="D117" s="199"/>
      <c r="E117" s="199"/>
      <c r="F117" s="199"/>
      <c r="G117" s="199"/>
      <c r="H117" s="199"/>
      <c r="I117" s="199"/>
      <c r="J117" s="128"/>
    </row>
    <row r="118" spans="1:11" x14ac:dyDescent="0.25">
      <c r="C118" s="192"/>
      <c r="D118" s="193"/>
      <c r="E118" s="193"/>
      <c r="F118" s="129"/>
      <c r="G118" s="130">
        <v>3000</v>
      </c>
      <c r="H118" s="131">
        <f>G118/$G$139</f>
        <v>0.82191780821917804</v>
      </c>
      <c r="I118" s="130">
        <f>G118*7%</f>
        <v>210.00000000000003</v>
      </c>
      <c r="J118" s="86">
        <f>G118*5%</f>
        <v>150</v>
      </c>
    </row>
    <row r="119" spans="1:11" x14ac:dyDescent="0.25">
      <c r="C119" s="192"/>
      <c r="D119" s="193"/>
      <c r="E119" s="193"/>
      <c r="F119" s="129"/>
      <c r="G119" s="130"/>
      <c r="H119" s="131">
        <f t="shared" ref="H119:H121" si="22">G119/$G$139</f>
        <v>0</v>
      </c>
      <c r="I119" s="130">
        <f t="shared" ref="I119:I122" si="23">G119*7%</f>
        <v>0</v>
      </c>
      <c r="J119" s="86">
        <f t="shared" ref="J119:J122" si="24">G119*5%</f>
        <v>0</v>
      </c>
    </row>
    <row r="120" spans="1:11" x14ac:dyDescent="0.25">
      <c r="C120" s="192"/>
      <c r="D120" s="193"/>
      <c r="E120" s="193"/>
      <c r="F120" s="130"/>
      <c r="G120" s="130"/>
      <c r="H120" s="131">
        <f t="shared" si="22"/>
        <v>0</v>
      </c>
      <c r="I120" s="130">
        <f t="shared" si="23"/>
        <v>0</v>
      </c>
      <c r="J120" s="86">
        <f t="shared" si="24"/>
        <v>0</v>
      </c>
    </row>
    <row r="121" spans="1:11" ht="14.4" thickBot="1" x14ac:dyDescent="0.3">
      <c r="C121" s="194"/>
      <c r="D121" s="195"/>
      <c r="E121" s="195"/>
      <c r="F121" s="132"/>
      <c r="G121" s="132"/>
      <c r="H121" s="133">
        <f t="shared" si="22"/>
        <v>0</v>
      </c>
      <c r="I121" s="132">
        <f t="shared" si="23"/>
        <v>0</v>
      </c>
      <c r="J121" s="113">
        <f t="shared" si="24"/>
        <v>0</v>
      </c>
    </row>
    <row r="122" spans="1:11" ht="14.4" thickBot="1" x14ac:dyDescent="0.3">
      <c r="C122" s="196" t="s">
        <v>82</v>
      </c>
      <c r="D122" s="197"/>
      <c r="E122" s="197"/>
      <c r="F122" s="134"/>
      <c r="G122" s="134">
        <f>SUM(G118:G121)</f>
        <v>3000</v>
      </c>
      <c r="H122" s="135">
        <f>G122/$G$139</f>
        <v>0.82191780821917804</v>
      </c>
      <c r="I122" s="134">
        <f t="shared" si="23"/>
        <v>210.00000000000003</v>
      </c>
      <c r="J122" s="123">
        <f t="shared" si="24"/>
        <v>150</v>
      </c>
    </row>
    <row r="123" spans="1:11" x14ac:dyDescent="0.25">
      <c r="C123" s="198" t="s">
        <v>75</v>
      </c>
      <c r="D123" s="199"/>
      <c r="E123" s="199"/>
      <c r="F123" s="199"/>
      <c r="G123" s="199"/>
      <c r="H123" s="199"/>
      <c r="I123" s="199"/>
      <c r="J123" s="128"/>
    </row>
    <row r="124" spans="1:11" x14ac:dyDescent="0.25">
      <c r="C124" s="192"/>
      <c r="D124" s="193"/>
      <c r="E124" s="193"/>
      <c r="F124" s="129"/>
      <c r="G124" s="130">
        <v>650</v>
      </c>
      <c r="H124" s="131">
        <f>G124/$G$139</f>
        <v>0.17808219178082191</v>
      </c>
      <c r="I124" s="130">
        <f>G124*7%</f>
        <v>45.500000000000007</v>
      </c>
      <c r="J124" s="86">
        <f>G124*5%</f>
        <v>32.5</v>
      </c>
    </row>
    <row r="125" spans="1:11" x14ac:dyDescent="0.25">
      <c r="C125" s="192"/>
      <c r="D125" s="193"/>
      <c r="E125" s="193"/>
      <c r="F125" s="129"/>
      <c r="G125" s="130"/>
      <c r="H125" s="131">
        <f t="shared" ref="H125:H137" si="25">G125/$G$139</f>
        <v>0</v>
      </c>
      <c r="I125" s="130">
        <f t="shared" ref="I125:I139" si="26">G125*7%</f>
        <v>0</v>
      </c>
      <c r="J125" s="86">
        <f t="shared" ref="J125:J139" si="27">G125*5%</f>
        <v>0</v>
      </c>
    </row>
    <row r="126" spans="1:11" x14ac:dyDescent="0.25">
      <c r="C126" s="192"/>
      <c r="D126" s="193"/>
      <c r="E126" s="193"/>
      <c r="F126" s="130"/>
      <c r="G126" s="130"/>
      <c r="H126" s="131">
        <f t="shared" si="25"/>
        <v>0</v>
      </c>
      <c r="I126" s="130">
        <f t="shared" si="26"/>
        <v>0</v>
      </c>
      <c r="J126" s="86">
        <f t="shared" si="27"/>
        <v>0</v>
      </c>
    </row>
    <row r="127" spans="1:11" x14ac:dyDescent="0.25">
      <c r="C127" s="192"/>
      <c r="D127" s="193"/>
      <c r="E127" s="193"/>
      <c r="F127" s="130"/>
      <c r="G127" s="130"/>
      <c r="H127" s="131">
        <f t="shared" si="25"/>
        <v>0</v>
      </c>
      <c r="I127" s="130">
        <f t="shared" si="26"/>
        <v>0</v>
      </c>
      <c r="J127" s="86">
        <f t="shared" si="27"/>
        <v>0</v>
      </c>
    </row>
    <row r="128" spans="1:11" x14ac:dyDescent="0.25">
      <c r="C128" s="192"/>
      <c r="D128" s="193"/>
      <c r="E128" s="193"/>
      <c r="F128" s="130"/>
      <c r="G128" s="130"/>
      <c r="H128" s="131">
        <f t="shared" si="25"/>
        <v>0</v>
      </c>
      <c r="I128" s="130">
        <f t="shared" si="26"/>
        <v>0</v>
      </c>
      <c r="J128" s="86">
        <f t="shared" si="27"/>
        <v>0</v>
      </c>
    </row>
    <row r="129" spans="1:10" x14ac:dyDescent="0.25">
      <c r="C129" s="192"/>
      <c r="D129" s="193"/>
      <c r="E129" s="193"/>
      <c r="F129" s="130"/>
      <c r="G129" s="130"/>
      <c r="H129" s="131">
        <f t="shared" si="25"/>
        <v>0</v>
      </c>
      <c r="I129" s="130">
        <f t="shared" si="26"/>
        <v>0</v>
      </c>
      <c r="J129" s="86">
        <f t="shared" si="27"/>
        <v>0</v>
      </c>
    </row>
    <row r="130" spans="1:10" x14ac:dyDescent="0.25">
      <c r="C130" s="192"/>
      <c r="D130" s="193"/>
      <c r="E130" s="193"/>
      <c r="F130" s="130"/>
      <c r="G130" s="130"/>
      <c r="H130" s="131">
        <f t="shared" si="25"/>
        <v>0</v>
      </c>
      <c r="I130" s="130">
        <f t="shared" si="26"/>
        <v>0</v>
      </c>
      <c r="J130" s="86">
        <f t="shared" si="27"/>
        <v>0</v>
      </c>
    </row>
    <row r="131" spans="1:10" x14ac:dyDescent="0.25">
      <c r="C131" s="192"/>
      <c r="D131" s="193"/>
      <c r="E131" s="193"/>
      <c r="F131" s="130"/>
      <c r="G131" s="130"/>
      <c r="H131" s="131">
        <f t="shared" si="25"/>
        <v>0</v>
      </c>
      <c r="I131" s="130">
        <f t="shared" si="26"/>
        <v>0</v>
      </c>
      <c r="J131" s="86">
        <f t="shared" si="27"/>
        <v>0</v>
      </c>
    </row>
    <row r="132" spans="1:10" x14ac:dyDescent="0.25">
      <c r="C132" s="192"/>
      <c r="D132" s="193"/>
      <c r="E132" s="193"/>
      <c r="F132" s="130"/>
      <c r="G132" s="130"/>
      <c r="H132" s="131">
        <f t="shared" si="25"/>
        <v>0</v>
      </c>
      <c r="I132" s="130">
        <f t="shared" si="26"/>
        <v>0</v>
      </c>
      <c r="J132" s="86">
        <f t="shared" si="27"/>
        <v>0</v>
      </c>
    </row>
    <row r="133" spans="1:10" x14ac:dyDescent="0.25">
      <c r="C133" s="192"/>
      <c r="D133" s="193"/>
      <c r="E133" s="193"/>
      <c r="F133" s="130"/>
      <c r="G133" s="130"/>
      <c r="H133" s="131">
        <f t="shared" si="25"/>
        <v>0</v>
      </c>
      <c r="I133" s="130">
        <f t="shared" si="26"/>
        <v>0</v>
      </c>
      <c r="J133" s="86">
        <f t="shared" si="27"/>
        <v>0</v>
      </c>
    </row>
    <row r="134" spans="1:10" x14ac:dyDescent="0.25">
      <c r="C134" s="192"/>
      <c r="D134" s="193"/>
      <c r="E134" s="193"/>
      <c r="F134" s="130"/>
      <c r="G134" s="130"/>
      <c r="H134" s="131">
        <f t="shared" si="25"/>
        <v>0</v>
      </c>
      <c r="I134" s="130">
        <f t="shared" si="26"/>
        <v>0</v>
      </c>
      <c r="J134" s="86">
        <f t="shared" si="27"/>
        <v>0</v>
      </c>
    </row>
    <row r="135" spans="1:10" x14ac:dyDescent="0.25">
      <c r="C135" s="192"/>
      <c r="D135" s="193"/>
      <c r="E135" s="193"/>
      <c r="F135" s="130"/>
      <c r="G135" s="130"/>
      <c r="H135" s="131">
        <f t="shared" si="25"/>
        <v>0</v>
      </c>
      <c r="I135" s="130">
        <f t="shared" si="26"/>
        <v>0</v>
      </c>
      <c r="J135" s="86">
        <f t="shared" si="27"/>
        <v>0</v>
      </c>
    </row>
    <row r="136" spans="1:10" x14ac:dyDescent="0.25">
      <c r="C136" s="192"/>
      <c r="D136" s="193"/>
      <c r="E136" s="193"/>
      <c r="F136" s="130"/>
      <c r="G136" s="130"/>
      <c r="H136" s="131">
        <f t="shared" si="25"/>
        <v>0</v>
      </c>
      <c r="I136" s="130">
        <f t="shared" si="26"/>
        <v>0</v>
      </c>
      <c r="J136" s="86">
        <f t="shared" si="27"/>
        <v>0</v>
      </c>
    </row>
    <row r="137" spans="1:10" ht="14.4" thickBot="1" x14ac:dyDescent="0.3">
      <c r="C137" s="194"/>
      <c r="D137" s="195"/>
      <c r="E137" s="195"/>
      <c r="F137" s="132"/>
      <c r="G137" s="132"/>
      <c r="H137" s="133">
        <f t="shared" si="25"/>
        <v>0</v>
      </c>
      <c r="I137" s="132">
        <f t="shared" si="26"/>
        <v>0</v>
      </c>
      <c r="J137" s="113">
        <f t="shared" si="27"/>
        <v>0</v>
      </c>
    </row>
    <row r="138" spans="1:10" ht="14.4" thickBot="1" x14ac:dyDescent="0.3">
      <c r="C138" s="200" t="s">
        <v>81</v>
      </c>
      <c r="D138" s="201"/>
      <c r="E138" s="201"/>
      <c r="F138" s="136"/>
      <c r="G138" s="136">
        <f>SUM(G124:G137)</f>
        <v>650</v>
      </c>
      <c r="H138" s="137">
        <f>G138/$G$139</f>
        <v>0.17808219178082191</v>
      </c>
      <c r="I138" s="136">
        <f t="shared" si="26"/>
        <v>45.500000000000007</v>
      </c>
      <c r="J138" s="138">
        <f t="shared" si="27"/>
        <v>32.5</v>
      </c>
    </row>
    <row r="139" spans="1:10" ht="14.4" thickBot="1" x14ac:dyDescent="0.3">
      <c r="C139" s="196" t="s">
        <v>7</v>
      </c>
      <c r="D139" s="197"/>
      <c r="E139" s="197"/>
      <c r="F139" s="134"/>
      <c r="G139" s="134">
        <f>G122+G138</f>
        <v>3650</v>
      </c>
      <c r="H139" s="139">
        <f>G139/G139</f>
        <v>1</v>
      </c>
      <c r="I139" s="134">
        <f t="shared" si="26"/>
        <v>255.50000000000003</v>
      </c>
      <c r="J139" s="123">
        <f t="shared" si="27"/>
        <v>182.5</v>
      </c>
    </row>
    <row r="140" spans="1:10" ht="18" thickBot="1" x14ac:dyDescent="0.35">
      <c r="C140" s="183" t="str">
        <f>G59</f>
        <v>Framing</v>
      </c>
      <c r="D140" s="140"/>
      <c r="E140" s="140"/>
      <c r="F140" s="58"/>
      <c r="G140" s="57"/>
      <c r="H140" s="57"/>
      <c r="I140" s="57"/>
      <c r="J140" s="57"/>
    </row>
    <row r="141" spans="1:10" ht="15" thickBot="1" x14ac:dyDescent="0.35">
      <c r="A141" s="185" t="s">
        <v>72</v>
      </c>
      <c r="C141" s="196" t="s">
        <v>0</v>
      </c>
      <c r="D141" s="197"/>
      <c r="E141" s="197"/>
      <c r="F141" s="125" t="s">
        <v>1</v>
      </c>
      <c r="G141" s="126" t="s">
        <v>73</v>
      </c>
      <c r="H141" s="126" t="s">
        <v>83</v>
      </c>
      <c r="I141" s="125" t="s">
        <v>3</v>
      </c>
      <c r="J141" s="127" t="s">
        <v>4</v>
      </c>
    </row>
    <row r="142" spans="1:10" x14ac:dyDescent="0.25">
      <c r="C142" s="198" t="s">
        <v>74</v>
      </c>
      <c r="D142" s="199"/>
      <c r="E142" s="199"/>
      <c r="F142" s="199"/>
      <c r="G142" s="199"/>
      <c r="H142" s="199"/>
      <c r="I142" s="199"/>
      <c r="J142" s="128"/>
    </row>
    <row r="143" spans="1:10" x14ac:dyDescent="0.25">
      <c r="C143" s="192"/>
      <c r="D143" s="193"/>
      <c r="E143" s="193"/>
      <c r="F143" s="129"/>
      <c r="G143" s="130">
        <v>2468</v>
      </c>
      <c r="H143" s="131">
        <f>G143/$G$164</f>
        <v>0.24177115987460815</v>
      </c>
      <c r="I143" s="130">
        <f>G143*7%</f>
        <v>172.76000000000002</v>
      </c>
      <c r="J143" s="86">
        <f>G143*5%</f>
        <v>123.4</v>
      </c>
    </row>
    <row r="144" spans="1:10" x14ac:dyDescent="0.25">
      <c r="C144" s="192"/>
      <c r="D144" s="193"/>
      <c r="E144" s="193"/>
      <c r="F144" s="129"/>
      <c r="G144" s="130">
        <v>666</v>
      </c>
      <c r="H144" s="131">
        <f t="shared" ref="H144:H147" si="28">G144/$G$164</f>
        <v>6.524294670846395E-2</v>
      </c>
      <c r="I144" s="130">
        <f t="shared" ref="I144:I147" si="29">G144*7%</f>
        <v>46.620000000000005</v>
      </c>
      <c r="J144" s="86">
        <f t="shared" ref="J144:J147" si="30">G144*5%</f>
        <v>33.300000000000004</v>
      </c>
    </row>
    <row r="145" spans="3:10" x14ac:dyDescent="0.25">
      <c r="C145" s="192"/>
      <c r="D145" s="193"/>
      <c r="E145" s="193"/>
      <c r="F145" s="130"/>
      <c r="G145" s="130">
        <v>900</v>
      </c>
      <c r="H145" s="131">
        <f t="shared" si="28"/>
        <v>8.8166144200626961E-2</v>
      </c>
      <c r="I145" s="130">
        <f t="shared" si="29"/>
        <v>63.000000000000007</v>
      </c>
      <c r="J145" s="86">
        <f t="shared" si="30"/>
        <v>45</v>
      </c>
    </row>
    <row r="146" spans="3:10" ht="14.4" thickBot="1" x14ac:dyDescent="0.3">
      <c r="C146" s="194"/>
      <c r="D146" s="195"/>
      <c r="E146" s="195"/>
      <c r="F146" s="132"/>
      <c r="G146" s="132"/>
      <c r="H146" s="133">
        <f t="shared" si="28"/>
        <v>0</v>
      </c>
      <c r="I146" s="132">
        <f t="shared" si="29"/>
        <v>0</v>
      </c>
      <c r="J146" s="113">
        <f t="shared" si="30"/>
        <v>0</v>
      </c>
    </row>
    <row r="147" spans="3:10" ht="14.4" thickBot="1" x14ac:dyDescent="0.3">
      <c r="C147" s="196" t="s">
        <v>82</v>
      </c>
      <c r="D147" s="197"/>
      <c r="E147" s="197"/>
      <c r="F147" s="134"/>
      <c r="G147" s="134">
        <f>SUM(G143:G146)</f>
        <v>4034</v>
      </c>
      <c r="H147" s="135">
        <f t="shared" si="28"/>
        <v>0.39518025078369906</v>
      </c>
      <c r="I147" s="134">
        <f t="shared" si="29"/>
        <v>282.38000000000005</v>
      </c>
      <c r="J147" s="123">
        <f t="shared" si="30"/>
        <v>201.70000000000002</v>
      </c>
    </row>
    <row r="148" spans="3:10" x14ac:dyDescent="0.25">
      <c r="C148" s="198" t="s">
        <v>75</v>
      </c>
      <c r="D148" s="199"/>
      <c r="E148" s="199"/>
      <c r="F148" s="199"/>
      <c r="G148" s="199"/>
      <c r="H148" s="199"/>
      <c r="I148" s="199"/>
      <c r="J148" s="128"/>
    </row>
    <row r="149" spans="3:10" x14ac:dyDescent="0.25">
      <c r="C149" s="192"/>
      <c r="D149" s="193"/>
      <c r="E149" s="193"/>
      <c r="F149" s="129"/>
      <c r="G149" s="130">
        <v>1896</v>
      </c>
      <c r="H149" s="131">
        <f>G149/$G$164</f>
        <v>0.18573667711598746</v>
      </c>
      <c r="I149" s="130">
        <f>G149*7%</f>
        <v>132.72</v>
      </c>
      <c r="J149" s="86">
        <f>G149*5%</f>
        <v>94.800000000000011</v>
      </c>
    </row>
    <row r="150" spans="3:10" x14ac:dyDescent="0.25">
      <c r="C150" s="192"/>
      <c r="D150" s="193"/>
      <c r="E150" s="193"/>
      <c r="F150" s="129"/>
      <c r="G150" s="130">
        <v>2000</v>
      </c>
      <c r="H150" s="131">
        <f t="shared" ref="H150:H164" si="31">G150/$G$164</f>
        <v>0.19592476489028213</v>
      </c>
      <c r="I150" s="130">
        <f t="shared" ref="I150:I164" si="32">G150*7%</f>
        <v>140</v>
      </c>
      <c r="J150" s="86">
        <f t="shared" ref="J150:J164" si="33">G150*5%</f>
        <v>100</v>
      </c>
    </row>
    <row r="151" spans="3:10" x14ac:dyDescent="0.25">
      <c r="C151" s="192"/>
      <c r="D151" s="193"/>
      <c r="E151" s="193"/>
      <c r="F151" s="130"/>
      <c r="G151" s="130">
        <v>700</v>
      </c>
      <c r="H151" s="131">
        <f t="shared" si="31"/>
        <v>6.8573667711598743E-2</v>
      </c>
      <c r="I151" s="130">
        <f t="shared" si="32"/>
        <v>49.000000000000007</v>
      </c>
      <c r="J151" s="86">
        <f t="shared" si="33"/>
        <v>35</v>
      </c>
    </row>
    <row r="152" spans="3:10" x14ac:dyDescent="0.25">
      <c r="C152" s="192"/>
      <c r="D152" s="193"/>
      <c r="E152" s="193"/>
      <c r="F152" s="130"/>
      <c r="G152" s="130">
        <v>378</v>
      </c>
      <c r="H152" s="131">
        <f t="shared" si="31"/>
        <v>3.7029780564263322E-2</v>
      </c>
      <c r="I152" s="130">
        <f t="shared" si="32"/>
        <v>26.46</v>
      </c>
      <c r="J152" s="86">
        <f t="shared" si="33"/>
        <v>18.900000000000002</v>
      </c>
    </row>
    <row r="153" spans="3:10" x14ac:dyDescent="0.25">
      <c r="C153" s="192"/>
      <c r="D153" s="193"/>
      <c r="E153" s="193"/>
      <c r="F153" s="130"/>
      <c r="G153" s="130">
        <v>1200</v>
      </c>
      <c r="H153" s="131">
        <f t="shared" si="31"/>
        <v>0.11755485893416928</v>
      </c>
      <c r="I153" s="130">
        <f t="shared" si="32"/>
        <v>84.000000000000014</v>
      </c>
      <c r="J153" s="86">
        <f t="shared" si="33"/>
        <v>60</v>
      </c>
    </row>
    <row r="154" spans="3:10" x14ac:dyDescent="0.25">
      <c r="C154" s="192"/>
      <c r="D154" s="193"/>
      <c r="E154" s="193"/>
      <c r="F154" s="130"/>
      <c r="G154" s="130"/>
      <c r="H154" s="131">
        <f t="shared" si="31"/>
        <v>0</v>
      </c>
      <c r="I154" s="130">
        <f t="shared" si="32"/>
        <v>0</v>
      </c>
      <c r="J154" s="86">
        <f t="shared" si="33"/>
        <v>0</v>
      </c>
    </row>
    <row r="155" spans="3:10" x14ac:dyDescent="0.25">
      <c r="C155" s="192"/>
      <c r="D155" s="193"/>
      <c r="E155" s="193"/>
      <c r="F155" s="130"/>
      <c r="G155" s="130"/>
      <c r="H155" s="131">
        <f t="shared" si="31"/>
        <v>0</v>
      </c>
      <c r="I155" s="130">
        <f t="shared" si="32"/>
        <v>0</v>
      </c>
      <c r="J155" s="86">
        <f t="shared" si="33"/>
        <v>0</v>
      </c>
    </row>
    <row r="156" spans="3:10" x14ac:dyDescent="0.25">
      <c r="C156" s="192"/>
      <c r="D156" s="193"/>
      <c r="E156" s="193"/>
      <c r="F156" s="130"/>
      <c r="G156" s="130"/>
      <c r="H156" s="131">
        <f t="shared" si="31"/>
        <v>0</v>
      </c>
      <c r="I156" s="130">
        <f t="shared" si="32"/>
        <v>0</v>
      </c>
      <c r="J156" s="86">
        <f t="shared" si="33"/>
        <v>0</v>
      </c>
    </row>
    <row r="157" spans="3:10" x14ac:dyDescent="0.25">
      <c r="C157" s="192"/>
      <c r="D157" s="193"/>
      <c r="E157" s="193"/>
      <c r="F157" s="130"/>
      <c r="G157" s="130"/>
      <c r="H157" s="131">
        <f t="shared" si="31"/>
        <v>0</v>
      </c>
      <c r="I157" s="130">
        <f t="shared" si="32"/>
        <v>0</v>
      </c>
      <c r="J157" s="86">
        <f t="shared" si="33"/>
        <v>0</v>
      </c>
    </row>
    <row r="158" spans="3:10" x14ac:dyDescent="0.25">
      <c r="C158" s="192"/>
      <c r="D158" s="193"/>
      <c r="E158" s="193"/>
      <c r="F158" s="130"/>
      <c r="G158" s="130"/>
      <c r="H158" s="131">
        <f t="shared" si="31"/>
        <v>0</v>
      </c>
      <c r="I158" s="130">
        <f t="shared" si="32"/>
        <v>0</v>
      </c>
      <c r="J158" s="86">
        <f t="shared" si="33"/>
        <v>0</v>
      </c>
    </row>
    <row r="159" spans="3:10" x14ac:dyDescent="0.25">
      <c r="C159" s="192"/>
      <c r="D159" s="193"/>
      <c r="E159" s="193"/>
      <c r="F159" s="130"/>
      <c r="G159" s="130"/>
      <c r="H159" s="131">
        <f t="shared" si="31"/>
        <v>0</v>
      </c>
      <c r="I159" s="130">
        <f t="shared" si="32"/>
        <v>0</v>
      </c>
      <c r="J159" s="86">
        <f t="shared" si="33"/>
        <v>0</v>
      </c>
    </row>
    <row r="160" spans="3:10" x14ac:dyDescent="0.25">
      <c r="C160" s="192"/>
      <c r="D160" s="193"/>
      <c r="E160" s="193"/>
      <c r="F160" s="130"/>
      <c r="G160" s="130"/>
      <c r="H160" s="131">
        <f t="shared" si="31"/>
        <v>0</v>
      </c>
      <c r="I160" s="130">
        <f t="shared" si="32"/>
        <v>0</v>
      </c>
      <c r="J160" s="86">
        <f t="shared" si="33"/>
        <v>0</v>
      </c>
    </row>
    <row r="161" spans="1:10" x14ac:dyDescent="0.25">
      <c r="C161" s="192"/>
      <c r="D161" s="193"/>
      <c r="E161" s="193"/>
      <c r="F161" s="130"/>
      <c r="G161" s="130"/>
      <c r="H161" s="131">
        <f t="shared" si="31"/>
        <v>0</v>
      </c>
      <c r="I161" s="130">
        <f t="shared" si="32"/>
        <v>0</v>
      </c>
      <c r="J161" s="86">
        <f t="shared" si="33"/>
        <v>0</v>
      </c>
    </row>
    <row r="162" spans="1:10" ht="14.4" thickBot="1" x14ac:dyDescent="0.3">
      <c r="C162" s="194"/>
      <c r="D162" s="195"/>
      <c r="E162" s="195"/>
      <c r="F162" s="132"/>
      <c r="G162" s="132"/>
      <c r="H162" s="133">
        <f t="shared" si="31"/>
        <v>0</v>
      </c>
      <c r="I162" s="132">
        <f t="shared" si="32"/>
        <v>0</v>
      </c>
      <c r="J162" s="113">
        <f t="shared" si="33"/>
        <v>0</v>
      </c>
    </row>
    <row r="163" spans="1:10" ht="14.4" thickBot="1" x14ac:dyDescent="0.3">
      <c r="C163" s="196" t="s">
        <v>81</v>
      </c>
      <c r="D163" s="197"/>
      <c r="E163" s="197"/>
      <c r="F163" s="134"/>
      <c r="G163" s="134">
        <f>SUM(G149:G162)</f>
        <v>6174</v>
      </c>
      <c r="H163" s="135">
        <f t="shared" si="31"/>
        <v>0.60481974921630099</v>
      </c>
      <c r="I163" s="134">
        <f t="shared" si="32"/>
        <v>432.18000000000006</v>
      </c>
      <c r="J163" s="123">
        <f t="shared" si="33"/>
        <v>308.70000000000005</v>
      </c>
    </row>
    <row r="164" spans="1:10" ht="14.4" thickBot="1" x14ac:dyDescent="0.3">
      <c r="C164" s="196" t="s">
        <v>7</v>
      </c>
      <c r="D164" s="197"/>
      <c r="E164" s="197"/>
      <c r="F164" s="134"/>
      <c r="G164" s="134">
        <f>G147+G163</f>
        <v>10208</v>
      </c>
      <c r="H164" s="135">
        <f t="shared" si="31"/>
        <v>1</v>
      </c>
      <c r="I164" s="134">
        <f t="shared" si="32"/>
        <v>714.56000000000006</v>
      </c>
      <c r="J164" s="123">
        <f t="shared" si="33"/>
        <v>510.40000000000003</v>
      </c>
    </row>
    <row r="165" spans="1:10" ht="18" thickBot="1" x14ac:dyDescent="0.35">
      <c r="C165" s="183" t="str">
        <f>G60</f>
        <v>Drywall, tape&amp;mudding</v>
      </c>
      <c r="E165" s="5"/>
      <c r="F165" s="5"/>
    </row>
    <row r="166" spans="1:10" ht="15" thickBot="1" x14ac:dyDescent="0.35">
      <c r="A166" s="185" t="s">
        <v>72</v>
      </c>
      <c r="C166" s="196" t="s">
        <v>0</v>
      </c>
      <c r="D166" s="197"/>
      <c r="E166" s="197"/>
      <c r="F166" s="125" t="s">
        <v>1</v>
      </c>
      <c r="G166" s="126" t="s">
        <v>73</v>
      </c>
      <c r="H166" s="126" t="s">
        <v>83</v>
      </c>
      <c r="I166" s="125" t="s">
        <v>3</v>
      </c>
      <c r="J166" s="127" t="s">
        <v>4</v>
      </c>
    </row>
    <row r="167" spans="1:10" x14ac:dyDescent="0.25">
      <c r="C167" s="198" t="s">
        <v>74</v>
      </c>
      <c r="D167" s="199"/>
      <c r="E167" s="199"/>
      <c r="F167" s="199"/>
      <c r="G167" s="199"/>
      <c r="H167" s="199"/>
      <c r="I167" s="199"/>
      <c r="J167" s="128"/>
    </row>
    <row r="168" spans="1:10" x14ac:dyDescent="0.25">
      <c r="C168" s="192"/>
      <c r="D168" s="193"/>
      <c r="E168" s="193"/>
      <c r="F168" s="129"/>
      <c r="G168" s="130">
        <v>1500</v>
      </c>
      <c r="H168" s="131">
        <f>G168/$G$189</f>
        <v>0.23749208359721344</v>
      </c>
      <c r="I168" s="130">
        <f>G168*7%</f>
        <v>105.00000000000001</v>
      </c>
      <c r="J168" s="86">
        <f>G168*5%</f>
        <v>75</v>
      </c>
    </row>
    <row r="169" spans="1:10" x14ac:dyDescent="0.25">
      <c r="C169" s="192"/>
      <c r="D169" s="193"/>
      <c r="E169" s="193"/>
      <c r="F169" s="129"/>
      <c r="G169" s="130">
        <v>800</v>
      </c>
      <c r="H169" s="131">
        <f t="shared" ref="H169:H172" si="34">G169/$G$189</f>
        <v>0.1266624445851805</v>
      </c>
      <c r="I169" s="130">
        <f t="shared" ref="I169:I172" si="35">G169*7%</f>
        <v>56.000000000000007</v>
      </c>
      <c r="J169" s="86">
        <f t="shared" ref="J169:J172" si="36">G169*5%</f>
        <v>40</v>
      </c>
    </row>
    <row r="170" spans="1:10" x14ac:dyDescent="0.25">
      <c r="C170" s="192"/>
      <c r="D170" s="193"/>
      <c r="E170" s="193"/>
      <c r="F170" s="130"/>
      <c r="G170" s="130">
        <v>260</v>
      </c>
      <c r="H170" s="131">
        <f t="shared" si="34"/>
        <v>4.1165294490183663E-2</v>
      </c>
      <c r="I170" s="130">
        <f t="shared" si="35"/>
        <v>18.200000000000003</v>
      </c>
      <c r="J170" s="86">
        <f t="shared" si="36"/>
        <v>13</v>
      </c>
    </row>
    <row r="171" spans="1:10" ht="14.4" thickBot="1" x14ac:dyDescent="0.3">
      <c r="C171" s="194"/>
      <c r="D171" s="195"/>
      <c r="E171" s="195"/>
      <c r="F171" s="132"/>
      <c r="G171" s="132"/>
      <c r="H171" s="133">
        <f t="shared" si="34"/>
        <v>0</v>
      </c>
      <c r="I171" s="132">
        <f t="shared" si="35"/>
        <v>0</v>
      </c>
      <c r="J171" s="113">
        <f t="shared" si="36"/>
        <v>0</v>
      </c>
    </row>
    <row r="172" spans="1:10" ht="14.4" thickBot="1" x14ac:dyDescent="0.3">
      <c r="C172" s="196" t="s">
        <v>82</v>
      </c>
      <c r="D172" s="197"/>
      <c r="E172" s="197"/>
      <c r="F172" s="134"/>
      <c r="G172" s="134">
        <f>SUM(G168:G171)</f>
        <v>2560</v>
      </c>
      <c r="H172" s="135">
        <f t="shared" si="34"/>
        <v>0.4053198226725776</v>
      </c>
      <c r="I172" s="134">
        <f t="shared" si="35"/>
        <v>179.20000000000002</v>
      </c>
      <c r="J172" s="123">
        <f t="shared" si="36"/>
        <v>128</v>
      </c>
    </row>
    <row r="173" spans="1:10" x14ac:dyDescent="0.25">
      <c r="C173" s="198" t="s">
        <v>75</v>
      </c>
      <c r="D173" s="199"/>
      <c r="E173" s="199"/>
      <c r="F173" s="199"/>
      <c r="G173" s="199"/>
      <c r="H173" s="199"/>
      <c r="I173" s="199"/>
      <c r="J173" s="128"/>
    </row>
    <row r="174" spans="1:10" x14ac:dyDescent="0.25">
      <c r="C174" s="192"/>
      <c r="D174" s="193"/>
      <c r="E174" s="193"/>
      <c r="F174" s="129"/>
      <c r="G174" s="130">
        <v>3500</v>
      </c>
      <c r="H174" s="131">
        <f>G174/$G$189</f>
        <v>0.55414819506016466</v>
      </c>
      <c r="I174" s="130">
        <f>G174*7%</f>
        <v>245.00000000000003</v>
      </c>
      <c r="J174" s="86">
        <f>G174*5%</f>
        <v>175</v>
      </c>
    </row>
    <row r="175" spans="1:10" x14ac:dyDescent="0.25">
      <c r="C175" s="192"/>
      <c r="D175" s="193"/>
      <c r="E175" s="193"/>
      <c r="F175" s="129"/>
      <c r="G175" s="130">
        <v>80</v>
      </c>
      <c r="H175" s="131">
        <f t="shared" ref="H175:H189" si="37">G175/$G$189</f>
        <v>1.266624445851805E-2</v>
      </c>
      <c r="I175" s="130">
        <f t="shared" ref="I175:I189" si="38">G175*7%</f>
        <v>5.6000000000000005</v>
      </c>
      <c r="J175" s="86">
        <f t="shared" ref="J175:J189" si="39">G175*5%</f>
        <v>4</v>
      </c>
    </row>
    <row r="176" spans="1:10" x14ac:dyDescent="0.25">
      <c r="C176" s="192"/>
      <c r="D176" s="193"/>
      <c r="E176" s="193"/>
      <c r="F176" s="130"/>
      <c r="G176" s="130">
        <v>120</v>
      </c>
      <c r="H176" s="131">
        <f t="shared" si="37"/>
        <v>1.8999366687777075E-2</v>
      </c>
      <c r="I176" s="130">
        <f t="shared" si="38"/>
        <v>8.4</v>
      </c>
      <c r="J176" s="86">
        <f t="shared" si="39"/>
        <v>6</v>
      </c>
    </row>
    <row r="177" spans="1:10" x14ac:dyDescent="0.25">
      <c r="C177" s="192"/>
      <c r="D177" s="193"/>
      <c r="E177" s="193"/>
      <c r="F177" s="130"/>
      <c r="G177" s="130">
        <v>56</v>
      </c>
      <c r="H177" s="131">
        <f t="shared" si="37"/>
        <v>8.8663711209626354E-3</v>
      </c>
      <c r="I177" s="130">
        <f t="shared" si="38"/>
        <v>3.9200000000000004</v>
      </c>
      <c r="J177" s="86">
        <f t="shared" si="39"/>
        <v>2.8000000000000003</v>
      </c>
    </row>
    <row r="178" spans="1:10" x14ac:dyDescent="0.25">
      <c r="C178" s="192"/>
      <c r="D178" s="193"/>
      <c r="E178" s="193"/>
      <c r="F178" s="130"/>
      <c r="G178" s="130"/>
      <c r="H178" s="131">
        <f t="shared" si="37"/>
        <v>0</v>
      </c>
      <c r="I178" s="130">
        <f t="shared" si="38"/>
        <v>0</v>
      </c>
      <c r="J178" s="86">
        <f t="shared" si="39"/>
        <v>0</v>
      </c>
    </row>
    <row r="179" spans="1:10" x14ac:dyDescent="0.25">
      <c r="C179" s="192"/>
      <c r="D179" s="193"/>
      <c r="E179" s="193"/>
      <c r="F179" s="130"/>
      <c r="G179" s="130"/>
      <c r="H179" s="131">
        <f t="shared" si="37"/>
        <v>0</v>
      </c>
      <c r="I179" s="130">
        <f t="shared" si="38"/>
        <v>0</v>
      </c>
      <c r="J179" s="86">
        <f t="shared" si="39"/>
        <v>0</v>
      </c>
    </row>
    <row r="180" spans="1:10" x14ac:dyDescent="0.25">
      <c r="C180" s="192"/>
      <c r="D180" s="193"/>
      <c r="E180" s="193"/>
      <c r="F180" s="130"/>
      <c r="G180" s="130"/>
      <c r="H180" s="131">
        <f t="shared" si="37"/>
        <v>0</v>
      </c>
      <c r="I180" s="130">
        <f t="shared" si="38"/>
        <v>0</v>
      </c>
      <c r="J180" s="86">
        <f t="shared" si="39"/>
        <v>0</v>
      </c>
    </row>
    <row r="181" spans="1:10" x14ac:dyDescent="0.25">
      <c r="C181" s="192"/>
      <c r="D181" s="193"/>
      <c r="E181" s="193"/>
      <c r="F181" s="130"/>
      <c r="G181" s="130"/>
      <c r="H181" s="131">
        <f t="shared" si="37"/>
        <v>0</v>
      </c>
      <c r="I181" s="130">
        <f t="shared" si="38"/>
        <v>0</v>
      </c>
      <c r="J181" s="86">
        <f t="shared" si="39"/>
        <v>0</v>
      </c>
    </row>
    <row r="182" spans="1:10" x14ac:dyDescent="0.25">
      <c r="C182" s="192"/>
      <c r="D182" s="193"/>
      <c r="E182" s="193"/>
      <c r="F182" s="130"/>
      <c r="G182" s="130"/>
      <c r="H182" s="131">
        <f t="shared" si="37"/>
        <v>0</v>
      </c>
      <c r="I182" s="130">
        <f t="shared" si="38"/>
        <v>0</v>
      </c>
      <c r="J182" s="86">
        <f t="shared" si="39"/>
        <v>0</v>
      </c>
    </row>
    <row r="183" spans="1:10" x14ac:dyDescent="0.25">
      <c r="C183" s="192"/>
      <c r="D183" s="193"/>
      <c r="E183" s="193"/>
      <c r="F183" s="130"/>
      <c r="G183" s="130"/>
      <c r="H183" s="131">
        <f t="shared" si="37"/>
        <v>0</v>
      </c>
      <c r="I183" s="130">
        <f t="shared" si="38"/>
        <v>0</v>
      </c>
      <c r="J183" s="86">
        <f t="shared" si="39"/>
        <v>0</v>
      </c>
    </row>
    <row r="184" spans="1:10" x14ac:dyDescent="0.25">
      <c r="C184" s="192"/>
      <c r="D184" s="193"/>
      <c r="E184" s="193"/>
      <c r="F184" s="130"/>
      <c r="G184" s="130"/>
      <c r="H184" s="131">
        <f t="shared" si="37"/>
        <v>0</v>
      </c>
      <c r="I184" s="130">
        <f t="shared" si="38"/>
        <v>0</v>
      </c>
      <c r="J184" s="86">
        <f t="shared" si="39"/>
        <v>0</v>
      </c>
    </row>
    <row r="185" spans="1:10" x14ac:dyDescent="0.25">
      <c r="C185" s="192"/>
      <c r="D185" s="193"/>
      <c r="E185" s="193"/>
      <c r="F185" s="130"/>
      <c r="G185" s="130"/>
      <c r="H185" s="131">
        <f t="shared" si="37"/>
        <v>0</v>
      </c>
      <c r="I185" s="130">
        <f t="shared" si="38"/>
        <v>0</v>
      </c>
      <c r="J185" s="86">
        <f t="shared" si="39"/>
        <v>0</v>
      </c>
    </row>
    <row r="186" spans="1:10" x14ac:dyDescent="0.25">
      <c r="C186" s="192"/>
      <c r="D186" s="193"/>
      <c r="E186" s="193"/>
      <c r="F186" s="130"/>
      <c r="G186" s="130"/>
      <c r="H186" s="131">
        <f t="shared" si="37"/>
        <v>0</v>
      </c>
      <c r="I186" s="130">
        <f t="shared" si="38"/>
        <v>0</v>
      </c>
      <c r="J186" s="86">
        <f t="shared" si="39"/>
        <v>0</v>
      </c>
    </row>
    <row r="187" spans="1:10" ht="14.4" thickBot="1" x14ac:dyDescent="0.3">
      <c r="C187" s="194"/>
      <c r="D187" s="195"/>
      <c r="E187" s="195"/>
      <c r="F187" s="132"/>
      <c r="G187" s="132"/>
      <c r="H187" s="133">
        <f t="shared" si="37"/>
        <v>0</v>
      </c>
      <c r="I187" s="132">
        <f t="shared" si="38"/>
        <v>0</v>
      </c>
      <c r="J187" s="113">
        <f t="shared" si="39"/>
        <v>0</v>
      </c>
    </row>
    <row r="188" spans="1:10" ht="14.4" thickBot="1" x14ac:dyDescent="0.3">
      <c r="C188" s="196" t="s">
        <v>81</v>
      </c>
      <c r="D188" s="197"/>
      <c r="E188" s="197"/>
      <c r="F188" s="134"/>
      <c r="G188" s="134">
        <f>SUM(G174:G187)</f>
        <v>3756</v>
      </c>
      <c r="H188" s="135">
        <f t="shared" si="37"/>
        <v>0.5946801773274224</v>
      </c>
      <c r="I188" s="134">
        <f t="shared" si="38"/>
        <v>262.92</v>
      </c>
      <c r="J188" s="123">
        <f t="shared" si="39"/>
        <v>187.8</v>
      </c>
    </row>
    <row r="189" spans="1:10" ht="14.4" thickBot="1" x14ac:dyDescent="0.3">
      <c r="C189" s="196" t="s">
        <v>7</v>
      </c>
      <c r="D189" s="197"/>
      <c r="E189" s="197"/>
      <c r="F189" s="134"/>
      <c r="G189" s="134">
        <f>G172+G188</f>
        <v>6316</v>
      </c>
      <c r="H189" s="135">
        <f t="shared" si="37"/>
        <v>1</v>
      </c>
      <c r="I189" s="134">
        <f t="shared" si="38"/>
        <v>442.12000000000006</v>
      </c>
      <c r="J189" s="123">
        <f t="shared" si="39"/>
        <v>315.8</v>
      </c>
    </row>
    <row r="190" spans="1:10" ht="18" thickBot="1" x14ac:dyDescent="0.35">
      <c r="C190" s="182" t="str">
        <f>G61</f>
        <v>Painting</v>
      </c>
      <c r="E190" s="5"/>
      <c r="F190" s="5"/>
    </row>
    <row r="191" spans="1:10" ht="15" thickBot="1" x14ac:dyDescent="0.35">
      <c r="A191" s="185" t="s">
        <v>72</v>
      </c>
      <c r="C191" s="196" t="s">
        <v>0</v>
      </c>
      <c r="D191" s="197"/>
      <c r="E191" s="197"/>
      <c r="F191" s="125" t="s">
        <v>1</v>
      </c>
      <c r="G191" s="126" t="s">
        <v>73</v>
      </c>
      <c r="H191" s="126" t="s">
        <v>83</v>
      </c>
      <c r="I191" s="125" t="s">
        <v>3</v>
      </c>
      <c r="J191" s="127" t="s">
        <v>4</v>
      </c>
    </row>
    <row r="192" spans="1:10" x14ac:dyDescent="0.25">
      <c r="C192" s="198" t="s">
        <v>74</v>
      </c>
      <c r="D192" s="199"/>
      <c r="E192" s="199"/>
      <c r="F192" s="199"/>
      <c r="G192" s="199"/>
      <c r="H192" s="199"/>
      <c r="I192" s="199"/>
      <c r="J192" s="128"/>
    </row>
    <row r="193" spans="3:10" x14ac:dyDescent="0.25">
      <c r="C193" s="192"/>
      <c r="D193" s="193"/>
      <c r="E193" s="193"/>
      <c r="F193" s="129"/>
      <c r="G193" s="130">
        <v>1480</v>
      </c>
      <c r="H193" s="131">
        <f>G193/$G$214</f>
        <v>0.52259887005649719</v>
      </c>
      <c r="I193" s="130">
        <f>G193*7%</f>
        <v>103.60000000000001</v>
      </c>
      <c r="J193" s="86">
        <f>G193*5%</f>
        <v>74</v>
      </c>
    </row>
    <row r="194" spans="3:10" x14ac:dyDescent="0.25">
      <c r="C194" s="192"/>
      <c r="D194" s="193"/>
      <c r="E194" s="193"/>
      <c r="F194" s="129"/>
      <c r="G194" s="130">
        <v>560</v>
      </c>
      <c r="H194" s="131">
        <f t="shared" ref="H194:H197" si="40">G194/$G$214</f>
        <v>0.19774011299435029</v>
      </c>
      <c r="I194" s="130">
        <f t="shared" ref="I194:I197" si="41">G194*7%</f>
        <v>39.200000000000003</v>
      </c>
      <c r="J194" s="86">
        <f t="shared" ref="J194:J197" si="42">G194*5%</f>
        <v>28</v>
      </c>
    </row>
    <row r="195" spans="3:10" x14ac:dyDescent="0.25">
      <c r="C195" s="192"/>
      <c r="D195" s="193"/>
      <c r="E195" s="193"/>
      <c r="F195" s="130"/>
      <c r="G195" s="130"/>
      <c r="H195" s="131">
        <f t="shared" si="40"/>
        <v>0</v>
      </c>
      <c r="I195" s="130">
        <f t="shared" si="41"/>
        <v>0</v>
      </c>
      <c r="J195" s="86">
        <f t="shared" si="42"/>
        <v>0</v>
      </c>
    </row>
    <row r="196" spans="3:10" ht="14.4" thickBot="1" x14ac:dyDescent="0.3">
      <c r="C196" s="194"/>
      <c r="D196" s="195"/>
      <c r="E196" s="195"/>
      <c r="F196" s="132"/>
      <c r="G196" s="132"/>
      <c r="H196" s="133">
        <f t="shared" si="40"/>
        <v>0</v>
      </c>
      <c r="I196" s="132">
        <f t="shared" si="41"/>
        <v>0</v>
      </c>
      <c r="J196" s="113">
        <f t="shared" si="42"/>
        <v>0</v>
      </c>
    </row>
    <row r="197" spans="3:10" ht="14.4" thickBot="1" x14ac:dyDescent="0.3">
      <c r="C197" s="196" t="s">
        <v>82</v>
      </c>
      <c r="D197" s="197"/>
      <c r="E197" s="197"/>
      <c r="F197" s="134"/>
      <c r="G197" s="134">
        <f>SUM(G193:G196)</f>
        <v>2040</v>
      </c>
      <c r="H197" s="135">
        <f t="shared" si="40"/>
        <v>0.72033898305084743</v>
      </c>
      <c r="I197" s="134">
        <f t="shared" si="41"/>
        <v>142.80000000000001</v>
      </c>
      <c r="J197" s="123">
        <f t="shared" si="42"/>
        <v>102</v>
      </c>
    </row>
    <row r="198" spans="3:10" x14ac:dyDescent="0.25">
      <c r="C198" s="198" t="s">
        <v>75</v>
      </c>
      <c r="D198" s="199"/>
      <c r="E198" s="199"/>
      <c r="F198" s="199"/>
      <c r="G198" s="199"/>
      <c r="H198" s="199"/>
      <c r="I198" s="199"/>
      <c r="J198" s="128"/>
    </row>
    <row r="199" spans="3:10" x14ac:dyDescent="0.25">
      <c r="C199" s="192"/>
      <c r="D199" s="193"/>
      <c r="E199" s="193"/>
      <c r="F199" s="129"/>
      <c r="G199" s="130">
        <v>680</v>
      </c>
      <c r="H199" s="131">
        <f>G199/G214</f>
        <v>0.24011299435028249</v>
      </c>
      <c r="I199" s="130">
        <f>G199*7%</f>
        <v>47.6</v>
      </c>
      <c r="J199" s="86">
        <f>G199*5%</f>
        <v>34</v>
      </c>
    </row>
    <row r="200" spans="3:10" x14ac:dyDescent="0.25">
      <c r="C200" s="192"/>
      <c r="D200" s="193"/>
      <c r="E200" s="193"/>
      <c r="F200" s="129"/>
      <c r="G200" s="130">
        <v>34</v>
      </c>
      <c r="H200" s="131">
        <f>G200/G214</f>
        <v>1.2005649717514125E-2</v>
      </c>
      <c r="I200" s="130">
        <f t="shared" ref="I200:I214" si="43">G200*7%</f>
        <v>2.3800000000000003</v>
      </c>
      <c r="J200" s="86">
        <f t="shared" ref="J200:J214" si="44">G200*5%</f>
        <v>1.7000000000000002</v>
      </c>
    </row>
    <row r="201" spans="3:10" x14ac:dyDescent="0.25">
      <c r="C201" s="192"/>
      <c r="D201" s="193"/>
      <c r="E201" s="193"/>
      <c r="F201" s="130"/>
      <c r="G201" s="130">
        <v>78</v>
      </c>
      <c r="H201" s="131">
        <f>G201/G214</f>
        <v>2.7542372881355932E-2</v>
      </c>
      <c r="I201" s="130">
        <f t="shared" si="43"/>
        <v>5.4600000000000009</v>
      </c>
      <c r="J201" s="86">
        <f t="shared" si="44"/>
        <v>3.9000000000000004</v>
      </c>
    </row>
    <row r="202" spans="3:10" x14ac:dyDescent="0.25">
      <c r="C202" s="192"/>
      <c r="D202" s="193"/>
      <c r="E202" s="193"/>
      <c r="F202" s="130"/>
      <c r="G202" s="130"/>
      <c r="H202" s="131">
        <f>G202/G214</f>
        <v>0</v>
      </c>
      <c r="I202" s="130">
        <f t="shared" si="43"/>
        <v>0</v>
      </c>
      <c r="J202" s="86">
        <f t="shared" si="44"/>
        <v>0</v>
      </c>
    </row>
    <row r="203" spans="3:10" x14ac:dyDescent="0.25">
      <c r="C203" s="192"/>
      <c r="D203" s="193"/>
      <c r="E203" s="193"/>
      <c r="F203" s="130"/>
      <c r="G203" s="130"/>
      <c r="H203" s="131">
        <f>G203/G214</f>
        <v>0</v>
      </c>
      <c r="I203" s="130">
        <f t="shared" si="43"/>
        <v>0</v>
      </c>
      <c r="J203" s="86">
        <f t="shared" si="44"/>
        <v>0</v>
      </c>
    </row>
    <row r="204" spans="3:10" x14ac:dyDescent="0.25">
      <c r="C204" s="192"/>
      <c r="D204" s="193"/>
      <c r="E204" s="193"/>
      <c r="F204" s="130"/>
      <c r="G204" s="130"/>
      <c r="H204" s="131">
        <f>G204/G214</f>
        <v>0</v>
      </c>
      <c r="I204" s="130">
        <f t="shared" si="43"/>
        <v>0</v>
      </c>
      <c r="J204" s="86">
        <f t="shared" si="44"/>
        <v>0</v>
      </c>
    </row>
    <row r="205" spans="3:10" x14ac:dyDescent="0.25">
      <c r="C205" s="192"/>
      <c r="D205" s="193"/>
      <c r="E205" s="193"/>
      <c r="F205" s="130"/>
      <c r="G205" s="130"/>
      <c r="H205" s="131">
        <f>G205/G214</f>
        <v>0</v>
      </c>
      <c r="I205" s="130">
        <f t="shared" si="43"/>
        <v>0</v>
      </c>
      <c r="J205" s="86">
        <f t="shared" si="44"/>
        <v>0</v>
      </c>
    </row>
    <row r="206" spans="3:10" x14ac:dyDescent="0.25">
      <c r="C206" s="192"/>
      <c r="D206" s="193"/>
      <c r="E206" s="193"/>
      <c r="F206" s="130"/>
      <c r="G206" s="130"/>
      <c r="H206" s="131">
        <f>G206/G214</f>
        <v>0</v>
      </c>
      <c r="I206" s="130">
        <f t="shared" si="43"/>
        <v>0</v>
      </c>
      <c r="J206" s="86">
        <f t="shared" si="44"/>
        <v>0</v>
      </c>
    </row>
    <row r="207" spans="3:10" x14ac:dyDescent="0.25">
      <c r="C207" s="192"/>
      <c r="D207" s="193"/>
      <c r="E207" s="193"/>
      <c r="F207" s="130"/>
      <c r="G207" s="130"/>
      <c r="H207" s="131">
        <f>G207/G214</f>
        <v>0</v>
      </c>
      <c r="I207" s="130">
        <f t="shared" si="43"/>
        <v>0</v>
      </c>
      <c r="J207" s="86">
        <f t="shared" si="44"/>
        <v>0</v>
      </c>
    </row>
    <row r="208" spans="3:10" x14ac:dyDescent="0.25">
      <c r="C208" s="192"/>
      <c r="D208" s="193"/>
      <c r="E208" s="193"/>
      <c r="F208" s="130"/>
      <c r="G208" s="130"/>
      <c r="H208" s="131">
        <f>G208/G214</f>
        <v>0</v>
      </c>
      <c r="I208" s="130">
        <f t="shared" si="43"/>
        <v>0</v>
      </c>
      <c r="J208" s="86">
        <f t="shared" si="44"/>
        <v>0</v>
      </c>
    </row>
    <row r="209" spans="1:10" x14ac:dyDescent="0.25">
      <c r="C209" s="192"/>
      <c r="D209" s="193"/>
      <c r="E209" s="193"/>
      <c r="F209" s="130"/>
      <c r="G209" s="130"/>
      <c r="H209" s="131">
        <f>G209/G214</f>
        <v>0</v>
      </c>
      <c r="I209" s="130">
        <f t="shared" si="43"/>
        <v>0</v>
      </c>
      <c r="J209" s="86">
        <f t="shared" si="44"/>
        <v>0</v>
      </c>
    </row>
    <row r="210" spans="1:10" x14ac:dyDescent="0.25">
      <c r="C210" s="192"/>
      <c r="D210" s="193"/>
      <c r="E210" s="193"/>
      <c r="F210" s="130"/>
      <c r="G210" s="130"/>
      <c r="H210" s="131">
        <f>G210/G214</f>
        <v>0</v>
      </c>
      <c r="I210" s="130">
        <f t="shared" si="43"/>
        <v>0</v>
      </c>
      <c r="J210" s="86">
        <f t="shared" si="44"/>
        <v>0</v>
      </c>
    </row>
    <row r="211" spans="1:10" x14ac:dyDescent="0.25">
      <c r="C211" s="192"/>
      <c r="D211" s="193"/>
      <c r="E211" s="193"/>
      <c r="F211" s="130"/>
      <c r="G211" s="130"/>
      <c r="H211" s="131">
        <f>G211/G214</f>
        <v>0</v>
      </c>
      <c r="I211" s="130">
        <f t="shared" si="43"/>
        <v>0</v>
      </c>
      <c r="J211" s="86">
        <f t="shared" si="44"/>
        <v>0</v>
      </c>
    </row>
    <row r="212" spans="1:10" ht="14.4" thickBot="1" x14ac:dyDescent="0.3">
      <c r="C212" s="194"/>
      <c r="D212" s="195"/>
      <c r="E212" s="195"/>
      <c r="F212" s="132"/>
      <c r="G212" s="132"/>
      <c r="H212" s="133">
        <f>G212/G214</f>
        <v>0</v>
      </c>
      <c r="I212" s="132">
        <f t="shared" si="43"/>
        <v>0</v>
      </c>
      <c r="J212" s="113">
        <f t="shared" si="44"/>
        <v>0</v>
      </c>
    </row>
    <row r="213" spans="1:10" ht="14.4" thickBot="1" x14ac:dyDescent="0.3">
      <c r="C213" s="196" t="s">
        <v>81</v>
      </c>
      <c r="D213" s="197"/>
      <c r="E213" s="197"/>
      <c r="F213" s="134"/>
      <c r="G213" s="134">
        <f>SUM(G199:G212)</f>
        <v>792</v>
      </c>
      <c r="H213" s="135">
        <f>G213/G214</f>
        <v>0.27966101694915252</v>
      </c>
      <c r="I213" s="134">
        <f t="shared" si="43"/>
        <v>55.440000000000005</v>
      </c>
      <c r="J213" s="123">
        <f t="shared" si="44"/>
        <v>39.6</v>
      </c>
    </row>
    <row r="214" spans="1:10" ht="14.4" thickBot="1" x14ac:dyDescent="0.3">
      <c r="C214" s="196" t="s">
        <v>7</v>
      </c>
      <c r="D214" s="197"/>
      <c r="E214" s="197"/>
      <c r="F214" s="134"/>
      <c r="G214" s="134">
        <f>G197+G213</f>
        <v>2832</v>
      </c>
      <c r="H214" s="135">
        <f t="shared" ref="H214" si="45">G214/$G$214</f>
        <v>1</v>
      </c>
      <c r="I214" s="134">
        <f t="shared" si="43"/>
        <v>198.24</v>
      </c>
      <c r="J214" s="123">
        <f t="shared" si="44"/>
        <v>141.6</v>
      </c>
    </row>
    <row r="215" spans="1:10" ht="18" thickBot="1" x14ac:dyDescent="0.35">
      <c r="C215" s="182" t="str">
        <f>G62</f>
        <v>Finish Carpentry</v>
      </c>
      <c r="E215" s="5"/>
      <c r="F215" s="5"/>
    </row>
    <row r="216" spans="1:10" ht="15" thickBot="1" x14ac:dyDescent="0.35">
      <c r="A216" s="185" t="s">
        <v>72</v>
      </c>
      <c r="C216" s="196" t="s">
        <v>0</v>
      </c>
      <c r="D216" s="197"/>
      <c r="E216" s="197"/>
      <c r="F216" s="125" t="s">
        <v>1</v>
      </c>
      <c r="G216" s="126" t="s">
        <v>73</v>
      </c>
      <c r="H216" s="126" t="s">
        <v>83</v>
      </c>
      <c r="I216" s="125" t="s">
        <v>3</v>
      </c>
      <c r="J216" s="127" t="s">
        <v>4</v>
      </c>
    </row>
    <row r="217" spans="1:10" x14ac:dyDescent="0.25">
      <c r="C217" s="198" t="s">
        <v>74</v>
      </c>
      <c r="D217" s="199"/>
      <c r="E217" s="199"/>
      <c r="F217" s="199"/>
      <c r="G217" s="199"/>
      <c r="H217" s="199"/>
      <c r="I217" s="199"/>
      <c r="J217" s="128"/>
    </row>
    <row r="218" spans="1:10" x14ac:dyDescent="0.25">
      <c r="C218" s="192"/>
      <c r="D218" s="193"/>
      <c r="E218" s="193"/>
      <c r="F218" s="129"/>
      <c r="G218" s="130">
        <v>2780</v>
      </c>
      <c r="H218" s="131">
        <f>G218/G239</f>
        <v>0.31483578708946774</v>
      </c>
      <c r="I218" s="130">
        <f>G218*7%</f>
        <v>194.60000000000002</v>
      </c>
      <c r="J218" s="86">
        <f>G218*5%</f>
        <v>139</v>
      </c>
    </row>
    <row r="219" spans="1:10" x14ac:dyDescent="0.25">
      <c r="C219" s="192"/>
      <c r="D219" s="193"/>
      <c r="E219" s="193"/>
      <c r="F219" s="129"/>
      <c r="G219" s="130">
        <v>467</v>
      </c>
      <c r="H219" s="131">
        <f>G219/G239</f>
        <v>5.288788221970555E-2</v>
      </c>
      <c r="I219" s="130">
        <f t="shared" ref="I219:I222" si="46">G219*7%</f>
        <v>32.690000000000005</v>
      </c>
      <c r="J219" s="86">
        <f t="shared" ref="J219:J222" si="47">G219*5%</f>
        <v>23.35</v>
      </c>
    </row>
    <row r="220" spans="1:10" x14ac:dyDescent="0.25">
      <c r="C220" s="192"/>
      <c r="D220" s="193"/>
      <c r="E220" s="193"/>
      <c r="F220" s="130"/>
      <c r="G220" s="130">
        <v>356</v>
      </c>
      <c r="H220" s="131">
        <f>G220/G239</f>
        <v>4.0317100792751984E-2</v>
      </c>
      <c r="I220" s="130">
        <f t="shared" si="46"/>
        <v>24.92</v>
      </c>
      <c r="J220" s="86">
        <f t="shared" si="47"/>
        <v>17.8</v>
      </c>
    </row>
    <row r="221" spans="1:10" ht="14.4" thickBot="1" x14ac:dyDescent="0.3">
      <c r="C221" s="194"/>
      <c r="D221" s="195"/>
      <c r="E221" s="195"/>
      <c r="F221" s="132"/>
      <c r="G221" s="132">
        <v>1000</v>
      </c>
      <c r="H221" s="133">
        <f>G221/G239</f>
        <v>0.11325028312570781</v>
      </c>
      <c r="I221" s="132">
        <f t="shared" si="46"/>
        <v>70</v>
      </c>
      <c r="J221" s="113">
        <f t="shared" si="47"/>
        <v>50</v>
      </c>
    </row>
    <row r="222" spans="1:10" ht="14.4" thickBot="1" x14ac:dyDescent="0.3">
      <c r="C222" s="196" t="s">
        <v>82</v>
      </c>
      <c r="D222" s="197"/>
      <c r="E222" s="197"/>
      <c r="F222" s="134"/>
      <c r="G222" s="134">
        <f>SUM(G218:G221)</f>
        <v>4603</v>
      </c>
      <c r="H222" s="135">
        <f>G222/G239</f>
        <v>0.52129105322763303</v>
      </c>
      <c r="I222" s="134">
        <f t="shared" si="46"/>
        <v>322.21000000000004</v>
      </c>
      <c r="J222" s="123">
        <f t="shared" si="47"/>
        <v>230.15</v>
      </c>
    </row>
    <row r="223" spans="1:10" x14ac:dyDescent="0.25">
      <c r="C223" s="198" t="s">
        <v>75</v>
      </c>
      <c r="D223" s="199"/>
      <c r="E223" s="199"/>
      <c r="F223" s="199"/>
      <c r="G223" s="199"/>
      <c r="H223" s="199"/>
      <c r="I223" s="199"/>
      <c r="J223" s="128"/>
    </row>
    <row r="224" spans="1:10" x14ac:dyDescent="0.25">
      <c r="C224" s="192"/>
      <c r="D224" s="193"/>
      <c r="E224" s="193"/>
      <c r="F224" s="129"/>
      <c r="G224" s="130">
        <v>3578</v>
      </c>
      <c r="H224" s="131">
        <f>G224/G239</f>
        <v>0.40520951302378255</v>
      </c>
      <c r="I224" s="130">
        <f>G224*7%</f>
        <v>250.46000000000004</v>
      </c>
      <c r="J224" s="86">
        <f>G224*5%</f>
        <v>178.9</v>
      </c>
    </row>
    <row r="225" spans="3:10" x14ac:dyDescent="0.25">
      <c r="C225" s="192"/>
      <c r="D225" s="193"/>
      <c r="E225" s="193"/>
      <c r="F225" s="129"/>
      <c r="G225" s="130">
        <v>560</v>
      </c>
      <c r="H225" s="131">
        <f>G225/G239</f>
        <v>6.3420158550396372E-2</v>
      </c>
      <c r="I225" s="130">
        <f t="shared" ref="I225:I239" si="48">G225*7%</f>
        <v>39.200000000000003</v>
      </c>
      <c r="J225" s="86">
        <f t="shared" ref="J225:J239" si="49">G225*5%</f>
        <v>28</v>
      </c>
    </row>
    <row r="226" spans="3:10" x14ac:dyDescent="0.25">
      <c r="C226" s="192"/>
      <c r="D226" s="193"/>
      <c r="E226" s="193"/>
      <c r="F226" s="130"/>
      <c r="G226" s="130">
        <v>89</v>
      </c>
      <c r="H226" s="131">
        <f>G226/G239</f>
        <v>1.0079275198187996E-2</v>
      </c>
      <c r="I226" s="130">
        <f t="shared" si="48"/>
        <v>6.23</v>
      </c>
      <c r="J226" s="86">
        <f t="shared" si="49"/>
        <v>4.45</v>
      </c>
    </row>
    <row r="227" spans="3:10" x14ac:dyDescent="0.25">
      <c r="C227" s="192"/>
      <c r="D227" s="193"/>
      <c r="E227" s="193"/>
      <c r="F227" s="130"/>
      <c r="G227" s="130"/>
      <c r="H227" s="131">
        <f>G227/G239</f>
        <v>0</v>
      </c>
      <c r="I227" s="130">
        <f t="shared" si="48"/>
        <v>0</v>
      </c>
      <c r="J227" s="86">
        <f t="shared" si="49"/>
        <v>0</v>
      </c>
    </row>
    <row r="228" spans="3:10" x14ac:dyDescent="0.25">
      <c r="C228" s="192"/>
      <c r="D228" s="193"/>
      <c r="E228" s="193"/>
      <c r="F228" s="130"/>
      <c r="G228" s="130"/>
      <c r="H228" s="131">
        <f>G228/G239</f>
        <v>0</v>
      </c>
      <c r="I228" s="130">
        <f t="shared" si="48"/>
        <v>0</v>
      </c>
      <c r="J228" s="86">
        <f t="shared" si="49"/>
        <v>0</v>
      </c>
    </row>
    <row r="229" spans="3:10" x14ac:dyDescent="0.25">
      <c r="C229" s="192"/>
      <c r="D229" s="193"/>
      <c r="E229" s="193"/>
      <c r="F229" s="130"/>
      <c r="G229" s="130"/>
      <c r="H229" s="131">
        <f>G229/G239</f>
        <v>0</v>
      </c>
      <c r="I229" s="130">
        <f t="shared" si="48"/>
        <v>0</v>
      </c>
      <c r="J229" s="86">
        <f t="shared" si="49"/>
        <v>0</v>
      </c>
    </row>
    <row r="230" spans="3:10" x14ac:dyDescent="0.25">
      <c r="C230" s="192"/>
      <c r="D230" s="193"/>
      <c r="E230" s="193"/>
      <c r="F230" s="130"/>
      <c r="G230" s="130"/>
      <c r="H230" s="131">
        <f>G230/G239</f>
        <v>0</v>
      </c>
      <c r="I230" s="130">
        <f t="shared" si="48"/>
        <v>0</v>
      </c>
      <c r="J230" s="86">
        <f t="shared" si="49"/>
        <v>0</v>
      </c>
    </row>
    <row r="231" spans="3:10" x14ac:dyDescent="0.25">
      <c r="C231" s="192"/>
      <c r="D231" s="193"/>
      <c r="E231" s="193"/>
      <c r="F231" s="130"/>
      <c r="G231" s="130"/>
      <c r="H231" s="131">
        <f>G231/G239</f>
        <v>0</v>
      </c>
      <c r="I231" s="130">
        <f t="shared" si="48"/>
        <v>0</v>
      </c>
      <c r="J231" s="86">
        <f t="shared" si="49"/>
        <v>0</v>
      </c>
    </row>
    <row r="232" spans="3:10" x14ac:dyDescent="0.25">
      <c r="C232" s="192"/>
      <c r="D232" s="193"/>
      <c r="E232" s="193"/>
      <c r="F232" s="130"/>
      <c r="G232" s="130"/>
      <c r="H232" s="131">
        <f>G232/G239</f>
        <v>0</v>
      </c>
      <c r="I232" s="130">
        <f t="shared" si="48"/>
        <v>0</v>
      </c>
      <c r="J232" s="86">
        <f t="shared" si="49"/>
        <v>0</v>
      </c>
    </row>
    <row r="233" spans="3:10" x14ac:dyDescent="0.25">
      <c r="C233" s="192"/>
      <c r="D233" s="193"/>
      <c r="E233" s="193"/>
      <c r="F233" s="130"/>
      <c r="G233" s="130"/>
      <c r="H233" s="131">
        <f>G233/G239</f>
        <v>0</v>
      </c>
      <c r="I233" s="130">
        <f t="shared" si="48"/>
        <v>0</v>
      </c>
      <c r="J233" s="86">
        <f t="shared" si="49"/>
        <v>0</v>
      </c>
    </row>
    <row r="234" spans="3:10" x14ac:dyDescent="0.25">
      <c r="C234" s="192"/>
      <c r="D234" s="193"/>
      <c r="E234" s="193"/>
      <c r="F234" s="130"/>
      <c r="G234" s="130"/>
      <c r="H234" s="131">
        <f>G234/G239</f>
        <v>0</v>
      </c>
      <c r="I234" s="130">
        <f t="shared" si="48"/>
        <v>0</v>
      </c>
      <c r="J234" s="86">
        <f t="shared" si="49"/>
        <v>0</v>
      </c>
    </row>
    <row r="235" spans="3:10" x14ac:dyDescent="0.25">
      <c r="C235" s="192"/>
      <c r="D235" s="193"/>
      <c r="E235" s="193"/>
      <c r="F235" s="130"/>
      <c r="G235" s="130"/>
      <c r="H235" s="131">
        <f>G235/G239</f>
        <v>0</v>
      </c>
      <c r="I235" s="130">
        <f t="shared" si="48"/>
        <v>0</v>
      </c>
      <c r="J235" s="86">
        <f t="shared" si="49"/>
        <v>0</v>
      </c>
    </row>
    <row r="236" spans="3:10" x14ac:dyDescent="0.25">
      <c r="C236" s="192"/>
      <c r="D236" s="193"/>
      <c r="E236" s="193"/>
      <c r="F236" s="130"/>
      <c r="G236" s="130"/>
      <c r="H236" s="131">
        <f>G236/G239</f>
        <v>0</v>
      </c>
      <c r="I236" s="130">
        <f t="shared" si="48"/>
        <v>0</v>
      </c>
      <c r="J236" s="86">
        <f t="shared" si="49"/>
        <v>0</v>
      </c>
    </row>
    <row r="237" spans="3:10" ht="14.4" thickBot="1" x14ac:dyDescent="0.3">
      <c r="C237" s="194"/>
      <c r="D237" s="195"/>
      <c r="E237" s="195"/>
      <c r="F237" s="132"/>
      <c r="G237" s="132"/>
      <c r="H237" s="133">
        <f>G237/G239</f>
        <v>0</v>
      </c>
      <c r="I237" s="132">
        <f t="shared" si="48"/>
        <v>0</v>
      </c>
      <c r="J237" s="113">
        <f t="shared" si="49"/>
        <v>0</v>
      </c>
    </row>
    <row r="238" spans="3:10" ht="14.4" thickBot="1" x14ac:dyDescent="0.3">
      <c r="C238" s="196" t="s">
        <v>81</v>
      </c>
      <c r="D238" s="197"/>
      <c r="E238" s="197"/>
      <c r="F238" s="134"/>
      <c r="G238" s="134">
        <f>SUM(G224:G237)</f>
        <v>4227</v>
      </c>
      <c r="H238" s="135">
        <f>G238/G239</f>
        <v>0.47870894677236692</v>
      </c>
      <c r="I238" s="134">
        <f t="shared" si="48"/>
        <v>295.89000000000004</v>
      </c>
      <c r="J238" s="123">
        <f t="shared" si="49"/>
        <v>211.35000000000002</v>
      </c>
    </row>
    <row r="239" spans="3:10" ht="14.4" thickBot="1" x14ac:dyDescent="0.3">
      <c r="C239" s="196" t="s">
        <v>7</v>
      </c>
      <c r="D239" s="197"/>
      <c r="E239" s="197"/>
      <c r="F239" s="134"/>
      <c r="G239" s="134">
        <f>G222+G238</f>
        <v>8830</v>
      </c>
      <c r="H239" s="135">
        <f>G239/G239</f>
        <v>1</v>
      </c>
      <c r="I239" s="134">
        <f t="shared" si="48"/>
        <v>618.1</v>
      </c>
      <c r="J239" s="123">
        <f t="shared" si="49"/>
        <v>441.5</v>
      </c>
    </row>
    <row r="240" spans="3:10" ht="18" thickBot="1" x14ac:dyDescent="0.35">
      <c r="C240" s="182" t="str">
        <f>G63</f>
        <v>Kitchen cabinet</v>
      </c>
      <c r="E240" s="5"/>
      <c r="F240" s="5"/>
    </row>
    <row r="241" spans="1:10" ht="15" thickBot="1" x14ac:dyDescent="0.35">
      <c r="A241" s="185" t="s">
        <v>72</v>
      </c>
      <c r="C241" s="196" t="s">
        <v>0</v>
      </c>
      <c r="D241" s="197"/>
      <c r="E241" s="197"/>
      <c r="F241" s="125" t="s">
        <v>1</v>
      </c>
      <c r="G241" s="126" t="s">
        <v>73</v>
      </c>
      <c r="H241" s="126" t="s">
        <v>83</v>
      </c>
      <c r="I241" s="125" t="s">
        <v>3</v>
      </c>
      <c r="J241" s="127" t="s">
        <v>4</v>
      </c>
    </row>
    <row r="242" spans="1:10" x14ac:dyDescent="0.25">
      <c r="C242" s="198" t="s">
        <v>74</v>
      </c>
      <c r="D242" s="199"/>
      <c r="E242" s="199"/>
      <c r="F242" s="199"/>
      <c r="G242" s="199"/>
      <c r="H242" s="199"/>
      <c r="I242" s="199"/>
      <c r="J242" s="128"/>
    </row>
    <row r="243" spans="1:10" x14ac:dyDescent="0.25">
      <c r="C243" s="192"/>
      <c r="D243" s="193"/>
      <c r="E243" s="193"/>
      <c r="F243" s="129"/>
      <c r="G243" s="130">
        <v>6000</v>
      </c>
      <c r="H243" s="131">
        <f>G243/G264</f>
        <v>0.32327586206896552</v>
      </c>
      <c r="I243" s="130">
        <f>G243*7%</f>
        <v>420.00000000000006</v>
      </c>
      <c r="J243" s="86">
        <f>G243*5%</f>
        <v>300</v>
      </c>
    </row>
    <row r="244" spans="1:10" x14ac:dyDescent="0.25">
      <c r="C244" s="192"/>
      <c r="D244" s="193"/>
      <c r="E244" s="193"/>
      <c r="F244" s="129"/>
      <c r="G244" s="130">
        <v>560</v>
      </c>
      <c r="H244" s="131">
        <f>G244/G264</f>
        <v>3.017241379310345E-2</v>
      </c>
      <c r="I244" s="130">
        <f t="shared" ref="I244:I247" si="50">G244*7%</f>
        <v>39.200000000000003</v>
      </c>
      <c r="J244" s="86">
        <f t="shared" ref="J244:J247" si="51">G244*5%</f>
        <v>28</v>
      </c>
    </row>
    <row r="245" spans="1:10" x14ac:dyDescent="0.25">
      <c r="C245" s="192"/>
      <c r="D245" s="193"/>
      <c r="E245" s="193"/>
      <c r="F245" s="130"/>
      <c r="G245" s="130"/>
      <c r="H245" s="131">
        <f>G245/G264</f>
        <v>0</v>
      </c>
      <c r="I245" s="130">
        <f t="shared" si="50"/>
        <v>0</v>
      </c>
      <c r="J245" s="86">
        <f t="shared" si="51"/>
        <v>0</v>
      </c>
    </row>
    <row r="246" spans="1:10" ht="14.4" thickBot="1" x14ac:dyDescent="0.3">
      <c r="C246" s="194"/>
      <c r="D246" s="195"/>
      <c r="E246" s="195"/>
      <c r="F246" s="132"/>
      <c r="G246" s="132"/>
      <c r="H246" s="133">
        <f>G246/G264</f>
        <v>0</v>
      </c>
      <c r="I246" s="132">
        <f t="shared" si="50"/>
        <v>0</v>
      </c>
      <c r="J246" s="113">
        <f t="shared" si="51"/>
        <v>0</v>
      </c>
    </row>
    <row r="247" spans="1:10" ht="14.4" thickBot="1" x14ac:dyDescent="0.3">
      <c r="C247" s="196" t="s">
        <v>82</v>
      </c>
      <c r="D247" s="197"/>
      <c r="E247" s="197"/>
      <c r="F247" s="134"/>
      <c r="G247" s="134">
        <f>SUM(G243:G246)</f>
        <v>6560</v>
      </c>
      <c r="H247" s="135">
        <f>G247/G264</f>
        <v>0.35344827586206895</v>
      </c>
      <c r="I247" s="134">
        <f t="shared" si="50"/>
        <v>459.20000000000005</v>
      </c>
      <c r="J247" s="123">
        <f t="shared" si="51"/>
        <v>328</v>
      </c>
    </row>
    <row r="248" spans="1:10" x14ac:dyDescent="0.25">
      <c r="C248" s="198" t="s">
        <v>75</v>
      </c>
      <c r="D248" s="199"/>
      <c r="E248" s="199"/>
      <c r="F248" s="199"/>
      <c r="G248" s="199"/>
      <c r="H248" s="199"/>
      <c r="I248" s="199"/>
      <c r="J248" s="128"/>
    </row>
    <row r="249" spans="1:10" x14ac:dyDescent="0.25">
      <c r="C249" s="192"/>
      <c r="D249" s="193"/>
      <c r="E249" s="193"/>
      <c r="F249" s="129"/>
      <c r="G249" s="130">
        <v>12000</v>
      </c>
      <c r="H249" s="131">
        <f>G249/G264</f>
        <v>0.64655172413793105</v>
      </c>
      <c r="I249" s="130">
        <f>G249*7%</f>
        <v>840.00000000000011</v>
      </c>
      <c r="J249" s="86">
        <f>G249*5%</f>
        <v>600</v>
      </c>
    </row>
    <row r="250" spans="1:10" x14ac:dyDescent="0.25">
      <c r="C250" s="192"/>
      <c r="D250" s="193"/>
      <c r="E250" s="193"/>
      <c r="F250" s="129"/>
      <c r="G250" s="130"/>
      <c r="H250" s="131">
        <f>G250/G264</f>
        <v>0</v>
      </c>
      <c r="I250" s="130">
        <f t="shared" ref="I250:I264" si="52">G250*7%</f>
        <v>0</v>
      </c>
      <c r="J250" s="86">
        <f t="shared" ref="J250:J264" si="53">G250*5%</f>
        <v>0</v>
      </c>
    </row>
    <row r="251" spans="1:10" x14ac:dyDescent="0.25">
      <c r="C251" s="192"/>
      <c r="D251" s="193"/>
      <c r="E251" s="193"/>
      <c r="F251" s="130"/>
      <c r="G251" s="130"/>
      <c r="H251" s="131">
        <f>G251/G264</f>
        <v>0</v>
      </c>
      <c r="I251" s="130">
        <f t="shared" si="52"/>
        <v>0</v>
      </c>
      <c r="J251" s="86">
        <f t="shared" si="53"/>
        <v>0</v>
      </c>
    </row>
    <row r="252" spans="1:10" x14ac:dyDescent="0.25">
      <c r="C252" s="192"/>
      <c r="D252" s="193"/>
      <c r="E252" s="193"/>
      <c r="F252" s="130"/>
      <c r="G252" s="130"/>
      <c r="H252" s="131">
        <f>G252/G264</f>
        <v>0</v>
      </c>
      <c r="I252" s="130">
        <f t="shared" si="52"/>
        <v>0</v>
      </c>
      <c r="J252" s="86">
        <f t="shared" si="53"/>
        <v>0</v>
      </c>
    </row>
    <row r="253" spans="1:10" x14ac:dyDescent="0.25">
      <c r="C253" s="192"/>
      <c r="D253" s="193"/>
      <c r="E253" s="193"/>
      <c r="F253" s="130"/>
      <c r="G253" s="130"/>
      <c r="H253" s="131">
        <f>G253/G264</f>
        <v>0</v>
      </c>
      <c r="I253" s="130">
        <f t="shared" si="52"/>
        <v>0</v>
      </c>
      <c r="J253" s="86">
        <f t="shared" si="53"/>
        <v>0</v>
      </c>
    </row>
    <row r="254" spans="1:10" x14ac:dyDescent="0.25">
      <c r="C254" s="192"/>
      <c r="D254" s="193"/>
      <c r="E254" s="193"/>
      <c r="F254" s="130"/>
      <c r="G254" s="130"/>
      <c r="H254" s="131">
        <f>G254/G264</f>
        <v>0</v>
      </c>
      <c r="I254" s="130">
        <f t="shared" si="52"/>
        <v>0</v>
      </c>
      <c r="J254" s="86">
        <f t="shared" si="53"/>
        <v>0</v>
      </c>
    </row>
    <row r="255" spans="1:10" x14ac:dyDescent="0.25">
      <c r="C255" s="192"/>
      <c r="D255" s="193"/>
      <c r="E255" s="193"/>
      <c r="F255" s="130"/>
      <c r="G255" s="130"/>
      <c r="H255" s="131">
        <f>G255/G264</f>
        <v>0</v>
      </c>
      <c r="I255" s="130">
        <f t="shared" si="52"/>
        <v>0</v>
      </c>
      <c r="J255" s="86">
        <f t="shared" si="53"/>
        <v>0</v>
      </c>
    </row>
    <row r="256" spans="1:10" x14ac:dyDescent="0.25">
      <c r="C256" s="192"/>
      <c r="D256" s="193"/>
      <c r="E256" s="193"/>
      <c r="F256" s="130"/>
      <c r="G256" s="130"/>
      <c r="H256" s="131">
        <f>G256/G264</f>
        <v>0</v>
      </c>
      <c r="I256" s="130">
        <f t="shared" si="52"/>
        <v>0</v>
      </c>
      <c r="J256" s="86">
        <f t="shared" si="53"/>
        <v>0</v>
      </c>
    </row>
    <row r="257" spans="1:10" x14ac:dyDescent="0.25">
      <c r="C257" s="192"/>
      <c r="D257" s="193"/>
      <c r="E257" s="193"/>
      <c r="F257" s="130"/>
      <c r="G257" s="130"/>
      <c r="H257" s="131">
        <f>G257/G264</f>
        <v>0</v>
      </c>
      <c r="I257" s="130">
        <f t="shared" si="52"/>
        <v>0</v>
      </c>
      <c r="J257" s="86">
        <f t="shared" si="53"/>
        <v>0</v>
      </c>
    </row>
    <row r="258" spans="1:10" x14ac:dyDescent="0.25">
      <c r="C258" s="192"/>
      <c r="D258" s="193"/>
      <c r="E258" s="193"/>
      <c r="F258" s="130"/>
      <c r="G258" s="130"/>
      <c r="H258" s="131">
        <f>G258/G264</f>
        <v>0</v>
      </c>
      <c r="I258" s="130">
        <f t="shared" si="52"/>
        <v>0</v>
      </c>
      <c r="J258" s="86">
        <f t="shared" si="53"/>
        <v>0</v>
      </c>
    </row>
    <row r="259" spans="1:10" x14ac:dyDescent="0.25">
      <c r="C259" s="192"/>
      <c r="D259" s="193"/>
      <c r="E259" s="193"/>
      <c r="F259" s="130"/>
      <c r="G259" s="130"/>
      <c r="H259" s="131">
        <f>G259/G264</f>
        <v>0</v>
      </c>
      <c r="I259" s="130">
        <f t="shared" si="52"/>
        <v>0</v>
      </c>
      <c r="J259" s="86">
        <f t="shared" si="53"/>
        <v>0</v>
      </c>
    </row>
    <row r="260" spans="1:10" x14ac:dyDescent="0.25">
      <c r="C260" s="192"/>
      <c r="D260" s="193"/>
      <c r="E260" s="193"/>
      <c r="F260" s="130"/>
      <c r="G260" s="130"/>
      <c r="H260" s="131">
        <f>G260/G264</f>
        <v>0</v>
      </c>
      <c r="I260" s="130">
        <f t="shared" si="52"/>
        <v>0</v>
      </c>
      <c r="J260" s="86">
        <f t="shared" si="53"/>
        <v>0</v>
      </c>
    </row>
    <row r="261" spans="1:10" x14ac:dyDescent="0.25">
      <c r="C261" s="192"/>
      <c r="D261" s="193"/>
      <c r="E261" s="193"/>
      <c r="F261" s="130"/>
      <c r="G261" s="130"/>
      <c r="H261" s="131">
        <f>G261/G264</f>
        <v>0</v>
      </c>
      <c r="I261" s="130">
        <f t="shared" si="52"/>
        <v>0</v>
      </c>
      <c r="J261" s="86">
        <f t="shared" si="53"/>
        <v>0</v>
      </c>
    </row>
    <row r="262" spans="1:10" ht="14.4" thickBot="1" x14ac:dyDescent="0.3">
      <c r="C262" s="194"/>
      <c r="D262" s="195"/>
      <c r="E262" s="195"/>
      <c r="F262" s="132"/>
      <c r="G262" s="132"/>
      <c r="H262" s="133">
        <f>G262/G264</f>
        <v>0</v>
      </c>
      <c r="I262" s="132">
        <f t="shared" si="52"/>
        <v>0</v>
      </c>
      <c r="J262" s="113">
        <f t="shared" si="53"/>
        <v>0</v>
      </c>
    </row>
    <row r="263" spans="1:10" ht="14.4" thickBot="1" x14ac:dyDescent="0.3">
      <c r="C263" s="196" t="s">
        <v>81</v>
      </c>
      <c r="D263" s="197"/>
      <c r="E263" s="197"/>
      <c r="F263" s="134"/>
      <c r="G263" s="134">
        <f>SUM(G249:G262)</f>
        <v>12000</v>
      </c>
      <c r="H263" s="135">
        <f>G263/G264</f>
        <v>0.64655172413793105</v>
      </c>
      <c r="I263" s="134">
        <f t="shared" si="52"/>
        <v>840.00000000000011</v>
      </c>
      <c r="J263" s="123">
        <f t="shared" si="53"/>
        <v>600</v>
      </c>
    </row>
    <row r="264" spans="1:10" ht="14.4" thickBot="1" x14ac:dyDescent="0.3">
      <c r="C264" s="196" t="s">
        <v>7</v>
      </c>
      <c r="D264" s="197"/>
      <c r="E264" s="197"/>
      <c r="F264" s="134"/>
      <c r="G264" s="134">
        <f>G247+G263</f>
        <v>18560</v>
      </c>
      <c r="H264" s="135">
        <f>G264/G264</f>
        <v>1</v>
      </c>
      <c r="I264" s="134">
        <f t="shared" si="52"/>
        <v>1299.2</v>
      </c>
      <c r="J264" s="123">
        <f t="shared" si="53"/>
        <v>928</v>
      </c>
    </row>
    <row r="265" spans="1:10" ht="18" thickBot="1" x14ac:dyDescent="0.35">
      <c r="C265" s="182" t="str">
        <f>G64</f>
        <v>Bathroom</v>
      </c>
      <c r="E265" s="5"/>
      <c r="F265" s="5"/>
    </row>
    <row r="266" spans="1:10" ht="15" thickBot="1" x14ac:dyDescent="0.35">
      <c r="A266" s="185" t="s">
        <v>72</v>
      </c>
      <c r="C266" s="196" t="s">
        <v>0</v>
      </c>
      <c r="D266" s="197"/>
      <c r="E266" s="197"/>
      <c r="F266" s="125" t="s">
        <v>1</v>
      </c>
      <c r="G266" s="126" t="s">
        <v>73</v>
      </c>
      <c r="H266" s="126" t="s">
        <v>83</v>
      </c>
      <c r="I266" s="125" t="s">
        <v>3</v>
      </c>
      <c r="J266" s="127" t="s">
        <v>4</v>
      </c>
    </row>
    <row r="267" spans="1:10" x14ac:dyDescent="0.25">
      <c r="C267" s="198" t="s">
        <v>74</v>
      </c>
      <c r="D267" s="199"/>
      <c r="E267" s="199"/>
      <c r="F267" s="199"/>
      <c r="G267" s="199"/>
      <c r="H267" s="199"/>
      <c r="I267" s="199"/>
      <c r="J267" s="128"/>
    </row>
    <row r="268" spans="1:10" x14ac:dyDescent="0.25">
      <c r="C268" s="192"/>
      <c r="D268" s="193"/>
      <c r="E268" s="193"/>
      <c r="F268" s="129"/>
      <c r="G268" s="130">
        <v>2700</v>
      </c>
      <c r="H268" s="131">
        <f>G268/G289</f>
        <v>0.46728971962616822</v>
      </c>
      <c r="I268" s="130">
        <f>G268*7%</f>
        <v>189.00000000000003</v>
      </c>
      <c r="J268" s="86">
        <f>G268*5%</f>
        <v>135</v>
      </c>
    </row>
    <row r="269" spans="1:10" x14ac:dyDescent="0.25">
      <c r="C269" s="192"/>
      <c r="D269" s="193"/>
      <c r="E269" s="193"/>
      <c r="F269" s="129"/>
      <c r="G269" s="130">
        <v>560</v>
      </c>
      <c r="H269" s="131">
        <f>G269/G289</f>
        <v>9.6919349255797857E-2</v>
      </c>
      <c r="I269" s="130">
        <f t="shared" ref="I269:I272" si="54">G269*7%</f>
        <v>39.200000000000003</v>
      </c>
      <c r="J269" s="86">
        <f t="shared" ref="J269:J272" si="55">G269*5%</f>
        <v>28</v>
      </c>
    </row>
    <row r="270" spans="1:10" x14ac:dyDescent="0.25">
      <c r="C270" s="192"/>
      <c r="D270" s="193"/>
      <c r="E270" s="193"/>
      <c r="F270" s="130"/>
      <c r="G270" s="130"/>
      <c r="H270" s="131">
        <f>G270/G289</f>
        <v>0</v>
      </c>
      <c r="I270" s="130">
        <f t="shared" si="54"/>
        <v>0</v>
      </c>
      <c r="J270" s="86">
        <f t="shared" si="55"/>
        <v>0</v>
      </c>
    </row>
    <row r="271" spans="1:10" ht="14.4" thickBot="1" x14ac:dyDescent="0.3">
      <c r="C271" s="194"/>
      <c r="D271" s="195"/>
      <c r="E271" s="195"/>
      <c r="F271" s="132"/>
      <c r="G271" s="132"/>
      <c r="H271" s="133">
        <f>G271/G289</f>
        <v>0</v>
      </c>
      <c r="I271" s="132">
        <f t="shared" si="54"/>
        <v>0</v>
      </c>
      <c r="J271" s="113">
        <f t="shared" si="55"/>
        <v>0</v>
      </c>
    </row>
    <row r="272" spans="1:10" ht="14.4" thickBot="1" x14ac:dyDescent="0.3">
      <c r="C272" s="196" t="s">
        <v>82</v>
      </c>
      <c r="D272" s="197"/>
      <c r="E272" s="197"/>
      <c r="F272" s="134"/>
      <c r="G272" s="134">
        <f>SUM(G268:G271)</f>
        <v>3260</v>
      </c>
      <c r="H272" s="135">
        <f>G272/G289</f>
        <v>0.56420906888196609</v>
      </c>
      <c r="I272" s="134">
        <f t="shared" si="54"/>
        <v>228.20000000000002</v>
      </c>
      <c r="J272" s="123">
        <f t="shared" si="55"/>
        <v>163</v>
      </c>
    </row>
    <row r="273" spans="3:10" x14ac:dyDescent="0.25">
      <c r="C273" s="198" t="s">
        <v>75</v>
      </c>
      <c r="D273" s="199"/>
      <c r="E273" s="199"/>
      <c r="F273" s="199"/>
      <c r="G273" s="199"/>
      <c r="H273" s="199"/>
      <c r="I273" s="199"/>
      <c r="J273" s="128"/>
    </row>
    <row r="274" spans="3:10" x14ac:dyDescent="0.25">
      <c r="C274" s="192"/>
      <c r="D274" s="193"/>
      <c r="E274" s="193"/>
      <c r="F274" s="129"/>
      <c r="G274" s="130">
        <v>1000</v>
      </c>
      <c r="H274" s="131">
        <f>G274/G289</f>
        <v>0.17307026652821045</v>
      </c>
      <c r="I274" s="130">
        <f>G274*7%</f>
        <v>70</v>
      </c>
      <c r="J274" s="86">
        <f>G274*5%</f>
        <v>50</v>
      </c>
    </row>
    <row r="275" spans="3:10" x14ac:dyDescent="0.25">
      <c r="C275" s="192"/>
      <c r="D275" s="193"/>
      <c r="E275" s="193"/>
      <c r="F275" s="129"/>
      <c r="G275" s="130">
        <v>280</v>
      </c>
      <c r="H275" s="131">
        <f>G275/G289</f>
        <v>4.8459674627898928E-2</v>
      </c>
      <c r="I275" s="130">
        <f t="shared" ref="I275:I289" si="56">G275*7%</f>
        <v>19.600000000000001</v>
      </c>
      <c r="J275" s="86">
        <f t="shared" ref="J275:J289" si="57">G275*5%</f>
        <v>14</v>
      </c>
    </row>
    <row r="276" spans="3:10" x14ac:dyDescent="0.25">
      <c r="C276" s="192"/>
      <c r="D276" s="193"/>
      <c r="E276" s="193"/>
      <c r="F276" s="130"/>
      <c r="G276" s="130">
        <v>880</v>
      </c>
      <c r="H276" s="131">
        <f>G276/G289</f>
        <v>0.15230183454482521</v>
      </c>
      <c r="I276" s="130">
        <f t="shared" si="56"/>
        <v>61.600000000000009</v>
      </c>
      <c r="J276" s="86">
        <f t="shared" si="57"/>
        <v>44</v>
      </c>
    </row>
    <row r="277" spans="3:10" x14ac:dyDescent="0.25">
      <c r="C277" s="192"/>
      <c r="D277" s="193"/>
      <c r="E277" s="193"/>
      <c r="F277" s="130"/>
      <c r="G277" s="130">
        <v>58</v>
      </c>
      <c r="H277" s="131">
        <f>G277/G289</f>
        <v>1.0038075458636206E-2</v>
      </c>
      <c r="I277" s="130">
        <f t="shared" si="56"/>
        <v>4.0600000000000005</v>
      </c>
      <c r="J277" s="86">
        <f t="shared" si="57"/>
        <v>2.9000000000000004</v>
      </c>
    </row>
    <row r="278" spans="3:10" x14ac:dyDescent="0.25">
      <c r="C278" s="192"/>
      <c r="D278" s="193"/>
      <c r="E278" s="193"/>
      <c r="F278" s="130"/>
      <c r="G278" s="130">
        <v>300</v>
      </c>
      <c r="H278" s="131">
        <f>G278/G289</f>
        <v>5.1921079958463137E-2</v>
      </c>
      <c r="I278" s="130">
        <f t="shared" si="56"/>
        <v>21.000000000000004</v>
      </c>
      <c r="J278" s="86">
        <f t="shared" si="57"/>
        <v>15</v>
      </c>
    </row>
    <row r="279" spans="3:10" x14ac:dyDescent="0.25">
      <c r="C279" s="192"/>
      <c r="D279" s="193"/>
      <c r="E279" s="193"/>
      <c r="F279" s="130"/>
      <c r="G279" s="130"/>
      <c r="H279" s="131">
        <f>G279/G289</f>
        <v>0</v>
      </c>
      <c r="I279" s="130">
        <f t="shared" si="56"/>
        <v>0</v>
      </c>
      <c r="J279" s="86">
        <f t="shared" si="57"/>
        <v>0</v>
      </c>
    </row>
    <row r="280" spans="3:10" x14ac:dyDescent="0.25">
      <c r="C280" s="192"/>
      <c r="D280" s="193"/>
      <c r="E280" s="193"/>
      <c r="F280" s="130"/>
      <c r="G280" s="130"/>
      <c r="H280" s="131">
        <f>G280/G289</f>
        <v>0</v>
      </c>
      <c r="I280" s="130">
        <f t="shared" si="56"/>
        <v>0</v>
      </c>
      <c r="J280" s="86">
        <f t="shared" si="57"/>
        <v>0</v>
      </c>
    </row>
    <row r="281" spans="3:10" x14ac:dyDescent="0.25">
      <c r="C281" s="192"/>
      <c r="D281" s="193"/>
      <c r="E281" s="193"/>
      <c r="F281" s="130"/>
      <c r="G281" s="130"/>
      <c r="H281" s="131">
        <f>G281/G289</f>
        <v>0</v>
      </c>
      <c r="I281" s="130">
        <f t="shared" si="56"/>
        <v>0</v>
      </c>
      <c r="J281" s="86">
        <f t="shared" si="57"/>
        <v>0</v>
      </c>
    </row>
    <row r="282" spans="3:10" x14ac:dyDescent="0.25">
      <c r="C282" s="192"/>
      <c r="D282" s="193"/>
      <c r="E282" s="193"/>
      <c r="F282" s="130"/>
      <c r="G282" s="130"/>
      <c r="H282" s="131">
        <f>G282/G289</f>
        <v>0</v>
      </c>
      <c r="I282" s="130">
        <f t="shared" si="56"/>
        <v>0</v>
      </c>
      <c r="J282" s="86">
        <f t="shared" si="57"/>
        <v>0</v>
      </c>
    </row>
    <row r="283" spans="3:10" x14ac:dyDescent="0.25">
      <c r="C283" s="192"/>
      <c r="D283" s="193"/>
      <c r="E283" s="193"/>
      <c r="F283" s="130"/>
      <c r="G283" s="130"/>
      <c r="H283" s="131">
        <f>G283/G289</f>
        <v>0</v>
      </c>
      <c r="I283" s="130">
        <f t="shared" si="56"/>
        <v>0</v>
      </c>
      <c r="J283" s="86">
        <f t="shared" si="57"/>
        <v>0</v>
      </c>
    </row>
    <row r="284" spans="3:10" x14ac:dyDescent="0.25">
      <c r="C284" s="192"/>
      <c r="D284" s="193"/>
      <c r="E284" s="193"/>
      <c r="F284" s="130"/>
      <c r="G284" s="130"/>
      <c r="H284" s="131">
        <f>G284/G289</f>
        <v>0</v>
      </c>
      <c r="I284" s="130">
        <f t="shared" si="56"/>
        <v>0</v>
      </c>
      <c r="J284" s="86">
        <f t="shared" si="57"/>
        <v>0</v>
      </c>
    </row>
    <row r="285" spans="3:10" x14ac:dyDescent="0.25">
      <c r="C285" s="192"/>
      <c r="D285" s="193"/>
      <c r="E285" s="193"/>
      <c r="F285" s="130"/>
      <c r="G285" s="130"/>
      <c r="H285" s="131">
        <f>G285/G289</f>
        <v>0</v>
      </c>
      <c r="I285" s="130">
        <f t="shared" si="56"/>
        <v>0</v>
      </c>
      <c r="J285" s="86">
        <f t="shared" si="57"/>
        <v>0</v>
      </c>
    </row>
    <row r="286" spans="3:10" x14ac:dyDescent="0.25">
      <c r="C286" s="192"/>
      <c r="D286" s="193"/>
      <c r="E286" s="193"/>
      <c r="F286" s="130"/>
      <c r="G286" s="130"/>
      <c r="H286" s="131">
        <f>G286/G289</f>
        <v>0</v>
      </c>
      <c r="I286" s="130">
        <f t="shared" si="56"/>
        <v>0</v>
      </c>
      <c r="J286" s="86">
        <f t="shared" si="57"/>
        <v>0</v>
      </c>
    </row>
    <row r="287" spans="3:10" ht="14.4" thickBot="1" x14ac:dyDescent="0.3">
      <c r="C287" s="194"/>
      <c r="D287" s="195"/>
      <c r="E287" s="195"/>
      <c r="F287" s="132"/>
      <c r="G287" s="132"/>
      <c r="H287" s="133">
        <f>G287/G289</f>
        <v>0</v>
      </c>
      <c r="I287" s="132">
        <f t="shared" si="56"/>
        <v>0</v>
      </c>
      <c r="J287" s="113">
        <f t="shared" si="57"/>
        <v>0</v>
      </c>
    </row>
    <row r="288" spans="3:10" ht="14.4" thickBot="1" x14ac:dyDescent="0.3">
      <c r="C288" s="196" t="s">
        <v>81</v>
      </c>
      <c r="D288" s="197"/>
      <c r="E288" s="197"/>
      <c r="F288" s="134"/>
      <c r="G288" s="134">
        <f>SUM(G274:G287)</f>
        <v>2518</v>
      </c>
      <c r="H288" s="135">
        <f>G288/G289</f>
        <v>0.43579093111803391</v>
      </c>
      <c r="I288" s="134">
        <f t="shared" si="56"/>
        <v>176.26000000000002</v>
      </c>
      <c r="J288" s="123">
        <f t="shared" si="57"/>
        <v>125.9</v>
      </c>
    </row>
    <row r="289" spans="1:10" ht="14.4" thickBot="1" x14ac:dyDescent="0.3">
      <c r="C289" s="196" t="s">
        <v>7</v>
      </c>
      <c r="D289" s="197"/>
      <c r="E289" s="197"/>
      <c r="F289" s="134"/>
      <c r="G289" s="134">
        <f>G272+G288</f>
        <v>5778</v>
      </c>
      <c r="H289" s="135">
        <f>G289/G289</f>
        <v>1</v>
      </c>
      <c r="I289" s="134">
        <f t="shared" si="56"/>
        <v>404.46000000000004</v>
      </c>
      <c r="J289" s="123">
        <f t="shared" si="57"/>
        <v>288.90000000000003</v>
      </c>
    </row>
    <row r="290" spans="1:10" ht="18" thickBot="1" x14ac:dyDescent="0.35">
      <c r="C290" s="182" t="str">
        <f>G65</f>
        <v>Floorinng, tiling</v>
      </c>
      <c r="E290" s="5"/>
      <c r="F290" s="5"/>
    </row>
    <row r="291" spans="1:10" ht="15" thickBot="1" x14ac:dyDescent="0.35">
      <c r="A291" s="185" t="s">
        <v>72</v>
      </c>
      <c r="C291" s="196" t="s">
        <v>0</v>
      </c>
      <c r="D291" s="197"/>
      <c r="E291" s="197"/>
      <c r="F291" s="125" t="s">
        <v>1</v>
      </c>
      <c r="G291" s="126" t="s">
        <v>73</v>
      </c>
      <c r="H291" s="126" t="s">
        <v>83</v>
      </c>
      <c r="I291" s="125" t="s">
        <v>3</v>
      </c>
      <c r="J291" s="127" t="s">
        <v>4</v>
      </c>
    </row>
    <row r="292" spans="1:10" x14ac:dyDescent="0.25">
      <c r="C292" s="198" t="s">
        <v>74</v>
      </c>
      <c r="D292" s="199"/>
      <c r="E292" s="199"/>
      <c r="F292" s="199"/>
      <c r="G292" s="199"/>
      <c r="H292" s="199"/>
      <c r="I292" s="199"/>
      <c r="J292" s="128"/>
    </row>
    <row r="293" spans="1:10" x14ac:dyDescent="0.25">
      <c r="C293" s="192"/>
      <c r="D293" s="193"/>
      <c r="E293" s="193"/>
      <c r="F293" s="129"/>
      <c r="G293" s="130">
        <v>2000</v>
      </c>
      <c r="H293" s="131">
        <f>G293/G314</f>
        <v>0.21791239921551536</v>
      </c>
      <c r="I293" s="130">
        <f>G293*7%</f>
        <v>140</v>
      </c>
      <c r="J293" s="86">
        <f>G293*5%</f>
        <v>100</v>
      </c>
    </row>
    <row r="294" spans="1:10" x14ac:dyDescent="0.25">
      <c r="C294" s="192"/>
      <c r="D294" s="193"/>
      <c r="E294" s="193"/>
      <c r="F294" s="129"/>
      <c r="G294" s="130">
        <v>1500</v>
      </c>
      <c r="H294" s="131">
        <f>G294/G314</f>
        <v>0.16343429941163654</v>
      </c>
      <c r="I294" s="130">
        <f t="shared" ref="I294:I297" si="58">G294*7%</f>
        <v>105.00000000000001</v>
      </c>
      <c r="J294" s="86">
        <f t="shared" ref="J294:J297" si="59">G294*5%</f>
        <v>75</v>
      </c>
    </row>
    <row r="295" spans="1:10" x14ac:dyDescent="0.25">
      <c r="C295" s="192"/>
      <c r="D295" s="193"/>
      <c r="E295" s="193"/>
      <c r="F295" s="130"/>
      <c r="G295" s="130"/>
      <c r="H295" s="131">
        <f>G295/G314</f>
        <v>0</v>
      </c>
      <c r="I295" s="130">
        <f t="shared" si="58"/>
        <v>0</v>
      </c>
      <c r="J295" s="86">
        <f t="shared" si="59"/>
        <v>0</v>
      </c>
    </row>
    <row r="296" spans="1:10" ht="14.4" thickBot="1" x14ac:dyDescent="0.3">
      <c r="C296" s="194"/>
      <c r="D296" s="195"/>
      <c r="E296" s="195"/>
      <c r="F296" s="132"/>
      <c r="G296" s="132"/>
      <c r="H296" s="133">
        <f>G296/G314</f>
        <v>0</v>
      </c>
      <c r="I296" s="132">
        <f t="shared" si="58"/>
        <v>0</v>
      </c>
      <c r="J296" s="113">
        <f t="shared" si="59"/>
        <v>0</v>
      </c>
    </row>
    <row r="297" spans="1:10" ht="14.4" thickBot="1" x14ac:dyDescent="0.3">
      <c r="C297" s="196" t="s">
        <v>82</v>
      </c>
      <c r="D297" s="197"/>
      <c r="E297" s="197"/>
      <c r="F297" s="134"/>
      <c r="G297" s="134">
        <f>SUM(G293:G296)</f>
        <v>3500</v>
      </c>
      <c r="H297" s="135">
        <f>G297/G314</f>
        <v>0.38134669862715187</v>
      </c>
      <c r="I297" s="134">
        <f t="shared" si="58"/>
        <v>245.00000000000003</v>
      </c>
      <c r="J297" s="123">
        <f t="shared" si="59"/>
        <v>175</v>
      </c>
    </row>
    <row r="298" spans="1:10" x14ac:dyDescent="0.25">
      <c r="C298" s="198" t="s">
        <v>75</v>
      </c>
      <c r="D298" s="199"/>
      <c r="E298" s="199"/>
      <c r="F298" s="199"/>
      <c r="G298" s="199"/>
      <c r="H298" s="199"/>
      <c r="I298" s="199"/>
      <c r="J298" s="128"/>
    </row>
    <row r="299" spans="1:10" x14ac:dyDescent="0.25">
      <c r="C299" s="192"/>
      <c r="D299" s="193"/>
      <c r="E299" s="193"/>
      <c r="F299" s="129"/>
      <c r="G299" s="130">
        <v>3500</v>
      </c>
      <c r="H299" s="131">
        <f>G299/G314</f>
        <v>0.38134669862715187</v>
      </c>
      <c r="I299" s="130">
        <f>G299*7%</f>
        <v>245.00000000000003</v>
      </c>
      <c r="J299" s="86">
        <f>G299*5%</f>
        <v>175</v>
      </c>
    </row>
    <row r="300" spans="1:10" x14ac:dyDescent="0.25">
      <c r="C300" s="192"/>
      <c r="D300" s="193"/>
      <c r="E300" s="193"/>
      <c r="F300" s="129"/>
      <c r="G300" s="130">
        <v>2000</v>
      </c>
      <c r="H300" s="131">
        <f>G300/G314</f>
        <v>0.21791239921551536</v>
      </c>
      <c r="I300" s="130">
        <f t="shared" ref="I300:I314" si="60">G300*7%</f>
        <v>140</v>
      </c>
      <c r="J300" s="86">
        <f t="shared" ref="J300:J314" si="61">G300*5%</f>
        <v>100</v>
      </c>
    </row>
    <row r="301" spans="1:10" x14ac:dyDescent="0.25">
      <c r="C301" s="192"/>
      <c r="D301" s="193"/>
      <c r="E301" s="193"/>
      <c r="F301" s="130"/>
      <c r="G301" s="130">
        <v>78</v>
      </c>
      <c r="H301" s="131">
        <f>G301/G314</f>
        <v>8.4985835694051E-3</v>
      </c>
      <c r="I301" s="130">
        <f t="shared" si="60"/>
        <v>5.4600000000000009</v>
      </c>
      <c r="J301" s="86">
        <f t="shared" si="61"/>
        <v>3.9000000000000004</v>
      </c>
    </row>
    <row r="302" spans="1:10" x14ac:dyDescent="0.25">
      <c r="C302" s="192"/>
      <c r="D302" s="193"/>
      <c r="E302" s="193"/>
      <c r="F302" s="130"/>
      <c r="G302" s="130">
        <v>100</v>
      </c>
      <c r="H302" s="131">
        <f>G302/G314</f>
        <v>1.0895619960775768E-2</v>
      </c>
      <c r="I302" s="130">
        <f t="shared" si="60"/>
        <v>7.0000000000000009</v>
      </c>
      <c r="J302" s="86">
        <f t="shared" si="61"/>
        <v>5</v>
      </c>
    </row>
    <row r="303" spans="1:10" x14ac:dyDescent="0.25">
      <c r="C303" s="192"/>
      <c r="D303" s="193"/>
      <c r="E303" s="193"/>
      <c r="F303" s="130"/>
      <c r="G303" s="130"/>
      <c r="H303" s="131">
        <f>G303/G314</f>
        <v>0</v>
      </c>
      <c r="I303" s="130">
        <f t="shared" si="60"/>
        <v>0</v>
      </c>
      <c r="J303" s="86">
        <f t="shared" si="61"/>
        <v>0</v>
      </c>
    </row>
    <row r="304" spans="1:10" x14ac:dyDescent="0.25">
      <c r="C304" s="192"/>
      <c r="D304" s="193"/>
      <c r="E304" s="193"/>
      <c r="F304" s="130"/>
      <c r="G304" s="130"/>
      <c r="H304" s="131">
        <f>G304/G314</f>
        <v>0</v>
      </c>
      <c r="I304" s="130">
        <f t="shared" si="60"/>
        <v>0</v>
      </c>
      <c r="J304" s="86">
        <f t="shared" si="61"/>
        <v>0</v>
      </c>
    </row>
    <row r="305" spans="1:10" x14ac:dyDescent="0.25">
      <c r="C305" s="192"/>
      <c r="D305" s="193"/>
      <c r="E305" s="193"/>
      <c r="F305" s="130"/>
      <c r="G305" s="130"/>
      <c r="H305" s="131">
        <f>G305/G314</f>
        <v>0</v>
      </c>
      <c r="I305" s="130">
        <f t="shared" si="60"/>
        <v>0</v>
      </c>
      <c r="J305" s="86">
        <f t="shared" si="61"/>
        <v>0</v>
      </c>
    </row>
    <row r="306" spans="1:10" x14ac:dyDescent="0.25">
      <c r="C306" s="192"/>
      <c r="D306" s="193"/>
      <c r="E306" s="193"/>
      <c r="F306" s="130"/>
      <c r="G306" s="130"/>
      <c r="H306" s="131">
        <f>G306/G314</f>
        <v>0</v>
      </c>
      <c r="I306" s="130">
        <f t="shared" si="60"/>
        <v>0</v>
      </c>
      <c r="J306" s="86">
        <f t="shared" si="61"/>
        <v>0</v>
      </c>
    </row>
    <row r="307" spans="1:10" x14ac:dyDescent="0.25">
      <c r="C307" s="192"/>
      <c r="D307" s="193"/>
      <c r="E307" s="193"/>
      <c r="F307" s="130"/>
      <c r="G307" s="130"/>
      <c r="H307" s="131">
        <f>G307/G314</f>
        <v>0</v>
      </c>
      <c r="I307" s="130">
        <f t="shared" si="60"/>
        <v>0</v>
      </c>
      <c r="J307" s="86">
        <f t="shared" si="61"/>
        <v>0</v>
      </c>
    </row>
    <row r="308" spans="1:10" x14ac:dyDescent="0.25">
      <c r="C308" s="192"/>
      <c r="D308" s="193"/>
      <c r="E308" s="193"/>
      <c r="F308" s="130"/>
      <c r="G308" s="130"/>
      <c r="H308" s="131">
        <f>G308/G314</f>
        <v>0</v>
      </c>
      <c r="I308" s="130">
        <f t="shared" si="60"/>
        <v>0</v>
      </c>
      <c r="J308" s="86">
        <f t="shared" si="61"/>
        <v>0</v>
      </c>
    </row>
    <row r="309" spans="1:10" x14ac:dyDescent="0.25">
      <c r="A309" s="63"/>
      <c r="C309" s="192"/>
      <c r="D309" s="193"/>
      <c r="E309" s="193"/>
      <c r="F309" s="130"/>
      <c r="G309" s="130"/>
      <c r="H309" s="131">
        <f>G309/G314</f>
        <v>0</v>
      </c>
      <c r="I309" s="130">
        <f t="shared" si="60"/>
        <v>0</v>
      </c>
      <c r="J309" s="86">
        <f t="shared" si="61"/>
        <v>0</v>
      </c>
    </row>
    <row r="310" spans="1:10" x14ac:dyDescent="0.25">
      <c r="C310" s="192"/>
      <c r="D310" s="193"/>
      <c r="E310" s="193"/>
      <c r="F310" s="130"/>
      <c r="G310" s="130"/>
      <c r="H310" s="131">
        <f>G310/G314</f>
        <v>0</v>
      </c>
      <c r="I310" s="130">
        <f t="shared" si="60"/>
        <v>0</v>
      </c>
      <c r="J310" s="86">
        <f t="shared" si="61"/>
        <v>0</v>
      </c>
    </row>
    <row r="311" spans="1:10" x14ac:dyDescent="0.25">
      <c r="C311" s="192"/>
      <c r="D311" s="193"/>
      <c r="E311" s="193"/>
      <c r="F311" s="130"/>
      <c r="G311" s="130"/>
      <c r="H311" s="131">
        <f>G311/G314</f>
        <v>0</v>
      </c>
      <c r="I311" s="130">
        <f t="shared" si="60"/>
        <v>0</v>
      </c>
      <c r="J311" s="86">
        <f t="shared" si="61"/>
        <v>0</v>
      </c>
    </row>
    <row r="312" spans="1:10" ht="14.4" thickBot="1" x14ac:dyDescent="0.3">
      <c r="C312" s="194"/>
      <c r="D312" s="195"/>
      <c r="E312" s="195"/>
      <c r="F312" s="132"/>
      <c r="G312" s="132"/>
      <c r="H312" s="133">
        <f>G312/G314</f>
        <v>0</v>
      </c>
      <c r="I312" s="132">
        <f t="shared" si="60"/>
        <v>0</v>
      </c>
      <c r="J312" s="113">
        <f t="shared" si="61"/>
        <v>0</v>
      </c>
    </row>
    <row r="313" spans="1:10" ht="14.4" thickBot="1" x14ac:dyDescent="0.3">
      <c r="C313" s="196" t="s">
        <v>81</v>
      </c>
      <c r="D313" s="197"/>
      <c r="E313" s="197"/>
      <c r="F313" s="134"/>
      <c r="G313" s="134">
        <f>SUM(G299:G312)</f>
        <v>5678</v>
      </c>
      <c r="H313" s="135">
        <f>G313/G314</f>
        <v>0.61865330137284813</v>
      </c>
      <c r="I313" s="134">
        <f t="shared" si="60"/>
        <v>397.46000000000004</v>
      </c>
      <c r="J313" s="123">
        <f t="shared" si="61"/>
        <v>283.90000000000003</v>
      </c>
    </row>
    <row r="314" spans="1:10" ht="14.4" thickBot="1" x14ac:dyDescent="0.3">
      <c r="C314" s="196" t="s">
        <v>7</v>
      </c>
      <c r="D314" s="197"/>
      <c r="E314" s="197"/>
      <c r="F314" s="134"/>
      <c r="G314" s="134">
        <f>G297+G313</f>
        <v>9178</v>
      </c>
      <c r="H314" s="139">
        <f>G314/G314</f>
        <v>1</v>
      </c>
      <c r="I314" s="134">
        <f t="shared" si="60"/>
        <v>642.46</v>
      </c>
      <c r="J314" s="123">
        <f t="shared" si="61"/>
        <v>458.90000000000003</v>
      </c>
    </row>
    <row r="315" spans="1:10" ht="18" thickBot="1" x14ac:dyDescent="0.35">
      <c r="C315" s="182" t="str">
        <f>G66</f>
        <v>HVAC</v>
      </c>
      <c r="E315" s="5"/>
      <c r="F315" s="5"/>
    </row>
    <row r="316" spans="1:10" ht="15" thickBot="1" x14ac:dyDescent="0.35">
      <c r="A316" s="185" t="s">
        <v>72</v>
      </c>
      <c r="C316" s="196" t="s">
        <v>0</v>
      </c>
      <c r="D316" s="197"/>
      <c r="E316" s="197"/>
      <c r="F316" s="125" t="s">
        <v>1</v>
      </c>
      <c r="G316" s="126" t="s">
        <v>73</v>
      </c>
      <c r="H316" s="126" t="s">
        <v>83</v>
      </c>
      <c r="I316" s="125" t="s">
        <v>3</v>
      </c>
      <c r="J316" s="127" t="s">
        <v>4</v>
      </c>
    </row>
    <row r="317" spans="1:10" x14ac:dyDescent="0.25">
      <c r="C317" s="198" t="s">
        <v>74</v>
      </c>
      <c r="D317" s="199"/>
      <c r="E317" s="199"/>
      <c r="F317" s="199"/>
      <c r="G317" s="199"/>
      <c r="H317" s="199"/>
      <c r="I317" s="199"/>
      <c r="J317" s="128"/>
    </row>
    <row r="318" spans="1:10" x14ac:dyDescent="0.25">
      <c r="C318" s="192"/>
      <c r="D318" s="193"/>
      <c r="E318" s="193"/>
      <c r="F318" s="129"/>
      <c r="G318" s="130">
        <v>2800</v>
      </c>
      <c r="H318" s="131">
        <f>G318/G339</f>
        <v>0.86153846153846159</v>
      </c>
      <c r="I318" s="130">
        <f>G318*7%</f>
        <v>196.00000000000003</v>
      </c>
      <c r="J318" s="86">
        <f>G318*5%</f>
        <v>140</v>
      </c>
    </row>
    <row r="319" spans="1:10" x14ac:dyDescent="0.25">
      <c r="C319" s="192"/>
      <c r="D319" s="193"/>
      <c r="E319" s="193"/>
      <c r="F319" s="129"/>
      <c r="G319" s="130">
        <v>100</v>
      </c>
      <c r="H319" s="131">
        <f>G319/G339</f>
        <v>3.0769230769230771E-2</v>
      </c>
      <c r="I319" s="130">
        <f t="shared" ref="I319:I322" si="62">G319*7%</f>
        <v>7.0000000000000009</v>
      </c>
      <c r="J319" s="86">
        <f t="shared" ref="J319:J322" si="63">G319*5%</f>
        <v>5</v>
      </c>
    </row>
    <row r="320" spans="1:10" x14ac:dyDescent="0.25">
      <c r="C320" s="192"/>
      <c r="D320" s="193"/>
      <c r="E320" s="193"/>
      <c r="F320" s="130"/>
      <c r="G320" s="130"/>
      <c r="H320" s="131">
        <f>G320/G339</f>
        <v>0</v>
      </c>
      <c r="I320" s="130">
        <f t="shared" si="62"/>
        <v>0</v>
      </c>
      <c r="J320" s="86">
        <f t="shared" si="63"/>
        <v>0</v>
      </c>
    </row>
    <row r="321" spans="3:10" ht="14.4" thickBot="1" x14ac:dyDescent="0.3">
      <c r="C321" s="194"/>
      <c r="D321" s="195"/>
      <c r="E321" s="195"/>
      <c r="F321" s="132"/>
      <c r="G321" s="132"/>
      <c r="H321" s="133">
        <f>G321/G339</f>
        <v>0</v>
      </c>
      <c r="I321" s="132">
        <f t="shared" si="62"/>
        <v>0</v>
      </c>
      <c r="J321" s="113">
        <f t="shared" si="63"/>
        <v>0</v>
      </c>
    </row>
    <row r="322" spans="3:10" ht="14.4" thickBot="1" x14ac:dyDescent="0.3">
      <c r="C322" s="196" t="s">
        <v>82</v>
      </c>
      <c r="D322" s="197"/>
      <c r="E322" s="197"/>
      <c r="F322" s="134"/>
      <c r="G322" s="134">
        <f>SUM(G318:G321)</f>
        <v>2900</v>
      </c>
      <c r="H322" s="135">
        <f>G322/G339</f>
        <v>0.89230769230769236</v>
      </c>
      <c r="I322" s="134">
        <f t="shared" si="62"/>
        <v>203.00000000000003</v>
      </c>
      <c r="J322" s="123">
        <f t="shared" si="63"/>
        <v>145</v>
      </c>
    </row>
    <row r="323" spans="3:10" x14ac:dyDescent="0.25">
      <c r="C323" s="198" t="s">
        <v>75</v>
      </c>
      <c r="D323" s="199"/>
      <c r="E323" s="199"/>
      <c r="F323" s="199"/>
      <c r="G323" s="199"/>
      <c r="H323" s="199"/>
      <c r="I323" s="199"/>
      <c r="J323" s="128"/>
    </row>
    <row r="324" spans="3:10" x14ac:dyDescent="0.25">
      <c r="C324" s="192"/>
      <c r="D324" s="193"/>
      <c r="E324" s="193"/>
      <c r="F324" s="129"/>
      <c r="G324" s="130">
        <v>300</v>
      </c>
      <c r="H324" s="131">
        <f>G324/G339</f>
        <v>9.2307692307692313E-2</v>
      </c>
      <c r="I324" s="130">
        <f>G324*7%</f>
        <v>21.000000000000004</v>
      </c>
      <c r="J324" s="86">
        <f>G324*5%</f>
        <v>15</v>
      </c>
    </row>
    <row r="325" spans="3:10" x14ac:dyDescent="0.25">
      <c r="C325" s="192"/>
      <c r="D325" s="193"/>
      <c r="E325" s="193"/>
      <c r="F325" s="129"/>
      <c r="G325" s="130">
        <v>50</v>
      </c>
      <c r="H325" s="131">
        <f>G325/G339</f>
        <v>1.5384615384615385E-2</v>
      </c>
      <c r="I325" s="130">
        <f t="shared" ref="I325:I339" si="64">G325*7%</f>
        <v>3.5000000000000004</v>
      </c>
      <c r="J325" s="86">
        <f t="shared" ref="J325:J339" si="65">G325*5%</f>
        <v>2.5</v>
      </c>
    </row>
    <row r="326" spans="3:10" x14ac:dyDescent="0.25">
      <c r="C326" s="192"/>
      <c r="D326" s="193"/>
      <c r="E326" s="193"/>
      <c r="F326" s="130"/>
      <c r="G326" s="130"/>
      <c r="H326" s="131">
        <f>G326/G339</f>
        <v>0</v>
      </c>
      <c r="I326" s="130">
        <f t="shared" si="64"/>
        <v>0</v>
      </c>
      <c r="J326" s="86">
        <f t="shared" si="65"/>
        <v>0</v>
      </c>
    </row>
    <row r="327" spans="3:10" x14ac:dyDescent="0.25">
      <c r="C327" s="192"/>
      <c r="D327" s="193"/>
      <c r="E327" s="193"/>
      <c r="F327" s="130"/>
      <c r="G327" s="130"/>
      <c r="H327" s="131">
        <f>G327/G339</f>
        <v>0</v>
      </c>
      <c r="I327" s="130">
        <f t="shared" si="64"/>
        <v>0</v>
      </c>
      <c r="J327" s="86">
        <f t="shared" si="65"/>
        <v>0</v>
      </c>
    </row>
    <row r="328" spans="3:10" x14ac:dyDescent="0.25">
      <c r="C328" s="192"/>
      <c r="D328" s="193"/>
      <c r="E328" s="193"/>
      <c r="F328" s="130"/>
      <c r="G328" s="130"/>
      <c r="H328" s="131">
        <f>G328/G339</f>
        <v>0</v>
      </c>
      <c r="I328" s="130">
        <f t="shared" si="64"/>
        <v>0</v>
      </c>
      <c r="J328" s="86">
        <f t="shared" si="65"/>
        <v>0</v>
      </c>
    </row>
    <row r="329" spans="3:10" x14ac:dyDescent="0.25">
      <c r="C329" s="192"/>
      <c r="D329" s="193"/>
      <c r="E329" s="193"/>
      <c r="F329" s="130"/>
      <c r="G329" s="130"/>
      <c r="H329" s="131">
        <f>G329/G339</f>
        <v>0</v>
      </c>
      <c r="I329" s="130">
        <f t="shared" si="64"/>
        <v>0</v>
      </c>
      <c r="J329" s="86">
        <f t="shared" si="65"/>
        <v>0</v>
      </c>
    </row>
    <row r="330" spans="3:10" x14ac:dyDescent="0.25">
      <c r="C330" s="192"/>
      <c r="D330" s="193"/>
      <c r="E330" s="193"/>
      <c r="F330" s="130"/>
      <c r="G330" s="130"/>
      <c r="H330" s="131">
        <f>G330/G339</f>
        <v>0</v>
      </c>
      <c r="I330" s="130">
        <f t="shared" si="64"/>
        <v>0</v>
      </c>
      <c r="J330" s="86">
        <f t="shared" si="65"/>
        <v>0</v>
      </c>
    </row>
    <row r="331" spans="3:10" x14ac:dyDescent="0.25">
      <c r="C331" s="192"/>
      <c r="D331" s="193"/>
      <c r="E331" s="193"/>
      <c r="F331" s="130"/>
      <c r="G331" s="130"/>
      <c r="H331" s="131">
        <f>G331/G339</f>
        <v>0</v>
      </c>
      <c r="I331" s="130">
        <f t="shared" si="64"/>
        <v>0</v>
      </c>
      <c r="J331" s="86">
        <f t="shared" si="65"/>
        <v>0</v>
      </c>
    </row>
    <row r="332" spans="3:10" x14ac:dyDescent="0.25">
      <c r="C332" s="192"/>
      <c r="D332" s="193"/>
      <c r="E332" s="193"/>
      <c r="F332" s="130"/>
      <c r="G332" s="130"/>
      <c r="H332" s="131">
        <f>G332/G339</f>
        <v>0</v>
      </c>
      <c r="I332" s="130">
        <f t="shared" si="64"/>
        <v>0</v>
      </c>
      <c r="J332" s="86">
        <f t="shared" si="65"/>
        <v>0</v>
      </c>
    </row>
    <row r="333" spans="3:10" x14ac:dyDescent="0.25">
      <c r="C333" s="192"/>
      <c r="D333" s="193"/>
      <c r="E333" s="193"/>
      <c r="F333" s="130"/>
      <c r="G333" s="130"/>
      <c r="H333" s="131">
        <f>G333/G339</f>
        <v>0</v>
      </c>
      <c r="I333" s="130">
        <f t="shared" si="64"/>
        <v>0</v>
      </c>
      <c r="J333" s="86">
        <f t="shared" si="65"/>
        <v>0</v>
      </c>
    </row>
    <row r="334" spans="3:10" x14ac:dyDescent="0.25">
      <c r="C334" s="192"/>
      <c r="D334" s="193"/>
      <c r="E334" s="193"/>
      <c r="F334" s="130"/>
      <c r="G334" s="130"/>
      <c r="H334" s="131">
        <f>G334/G339</f>
        <v>0</v>
      </c>
      <c r="I334" s="130">
        <f t="shared" si="64"/>
        <v>0</v>
      </c>
      <c r="J334" s="86">
        <f t="shared" si="65"/>
        <v>0</v>
      </c>
    </row>
    <row r="335" spans="3:10" x14ac:dyDescent="0.25">
      <c r="C335" s="192"/>
      <c r="D335" s="193"/>
      <c r="E335" s="193"/>
      <c r="F335" s="130"/>
      <c r="G335" s="130"/>
      <c r="H335" s="131">
        <f>G335/G339</f>
        <v>0</v>
      </c>
      <c r="I335" s="130">
        <f t="shared" si="64"/>
        <v>0</v>
      </c>
      <c r="J335" s="86">
        <f t="shared" si="65"/>
        <v>0</v>
      </c>
    </row>
    <row r="336" spans="3:10" x14ac:dyDescent="0.25">
      <c r="C336" s="192"/>
      <c r="D336" s="193"/>
      <c r="E336" s="193"/>
      <c r="F336" s="130"/>
      <c r="G336" s="130"/>
      <c r="H336" s="131">
        <f>G336/G339</f>
        <v>0</v>
      </c>
      <c r="I336" s="130">
        <f t="shared" si="64"/>
        <v>0</v>
      </c>
      <c r="J336" s="86">
        <f t="shared" si="65"/>
        <v>0</v>
      </c>
    </row>
    <row r="337" spans="1:10" ht="14.4" thickBot="1" x14ac:dyDescent="0.3">
      <c r="C337" s="194"/>
      <c r="D337" s="195"/>
      <c r="E337" s="195"/>
      <c r="F337" s="132"/>
      <c r="G337" s="132"/>
      <c r="H337" s="133">
        <f>G337/G339</f>
        <v>0</v>
      </c>
      <c r="I337" s="132">
        <f t="shared" si="64"/>
        <v>0</v>
      </c>
      <c r="J337" s="113">
        <f t="shared" si="65"/>
        <v>0</v>
      </c>
    </row>
    <row r="338" spans="1:10" ht="14.4" thickBot="1" x14ac:dyDescent="0.3">
      <c r="C338" s="196" t="s">
        <v>81</v>
      </c>
      <c r="D338" s="197"/>
      <c r="E338" s="197"/>
      <c r="F338" s="134"/>
      <c r="G338" s="134">
        <f>SUM(G324:G337)</f>
        <v>350</v>
      </c>
      <c r="H338" s="135">
        <f>G338/G339</f>
        <v>0.1076923076923077</v>
      </c>
      <c r="I338" s="134">
        <f t="shared" si="64"/>
        <v>24.500000000000004</v>
      </c>
      <c r="J338" s="123">
        <f t="shared" si="65"/>
        <v>17.5</v>
      </c>
    </row>
    <row r="339" spans="1:10" ht="14.4" thickBot="1" x14ac:dyDescent="0.3">
      <c r="C339" s="196" t="s">
        <v>7</v>
      </c>
      <c r="D339" s="197"/>
      <c r="E339" s="197"/>
      <c r="F339" s="134"/>
      <c r="G339" s="134">
        <f>G322+G338</f>
        <v>3250</v>
      </c>
      <c r="H339" s="135">
        <f>G339/G339</f>
        <v>1</v>
      </c>
      <c r="I339" s="134">
        <f t="shared" si="64"/>
        <v>227.50000000000003</v>
      </c>
      <c r="J339" s="123">
        <f t="shared" si="65"/>
        <v>162.5</v>
      </c>
    </row>
    <row r="340" spans="1:10" ht="18" thickBot="1" x14ac:dyDescent="0.35">
      <c r="C340" s="182" t="str">
        <f>G67</f>
        <v>Electriccal</v>
      </c>
      <c r="E340" s="5"/>
      <c r="F340" s="5"/>
    </row>
    <row r="341" spans="1:10" ht="15" thickBot="1" x14ac:dyDescent="0.35">
      <c r="A341" s="185" t="s">
        <v>72</v>
      </c>
      <c r="C341" s="196" t="s">
        <v>0</v>
      </c>
      <c r="D341" s="197"/>
      <c r="E341" s="197"/>
      <c r="F341" s="125" t="s">
        <v>1</v>
      </c>
      <c r="G341" s="126" t="s">
        <v>73</v>
      </c>
      <c r="H341" s="126" t="s">
        <v>83</v>
      </c>
      <c r="I341" s="125" t="s">
        <v>3</v>
      </c>
      <c r="J341" s="127" t="s">
        <v>4</v>
      </c>
    </row>
    <row r="342" spans="1:10" x14ac:dyDescent="0.25">
      <c r="C342" s="198" t="s">
        <v>74</v>
      </c>
      <c r="D342" s="199"/>
      <c r="E342" s="199"/>
      <c r="F342" s="199"/>
      <c r="G342" s="199"/>
      <c r="H342" s="199"/>
      <c r="I342" s="199"/>
      <c r="J342" s="128"/>
    </row>
    <row r="343" spans="1:10" x14ac:dyDescent="0.25">
      <c r="C343" s="192"/>
      <c r="D343" s="193"/>
      <c r="E343" s="193"/>
      <c r="F343" s="129"/>
      <c r="G343" s="130">
        <v>2000</v>
      </c>
      <c r="H343" s="131">
        <f>G343/G364</f>
        <v>0.63051702395964693</v>
      </c>
      <c r="I343" s="130">
        <f>G343*7%</f>
        <v>140</v>
      </c>
      <c r="J343" s="86">
        <f>G343*5%</f>
        <v>100</v>
      </c>
    </row>
    <row r="344" spans="1:10" x14ac:dyDescent="0.25">
      <c r="C344" s="192"/>
      <c r="D344" s="193"/>
      <c r="E344" s="193"/>
      <c r="F344" s="129"/>
      <c r="G344" s="130">
        <v>560</v>
      </c>
      <c r="H344" s="131">
        <f>G344/G364</f>
        <v>0.17654476670870115</v>
      </c>
      <c r="I344" s="130">
        <f t="shared" ref="I344:I347" si="66">G344*7%</f>
        <v>39.200000000000003</v>
      </c>
      <c r="J344" s="86">
        <f t="shared" ref="J344:J347" si="67">G344*5%</f>
        <v>28</v>
      </c>
    </row>
    <row r="345" spans="1:10" x14ac:dyDescent="0.25">
      <c r="C345" s="192"/>
      <c r="D345" s="193"/>
      <c r="E345" s="193"/>
      <c r="F345" s="130"/>
      <c r="G345" s="130"/>
      <c r="H345" s="131">
        <f>G345/G364</f>
        <v>0</v>
      </c>
      <c r="I345" s="130">
        <f t="shared" si="66"/>
        <v>0</v>
      </c>
      <c r="J345" s="86">
        <f t="shared" si="67"/>
        <v>0</v>
      </c>
    </row>
    <row r="346" spans="1:10" ht="14.4" thickBot="1" x14ac:dyDescent="0.3">
      <c r="C346" s="194"/>
      <c r="D346" s="195"/>
      <c r="E346" s="195"/>
      <c r="F346" s="132"/>
      <c r="G346" s="132"/>
      <c r="H346" s="133">
        <f>G346/G364</f>
        <v>0</v>
      </c>
      <c r="I346" s="132">
        <f t="shared" si="66"/>
        <v>0</v>
      </c>
      <c r="J346" s="113">
        <f t="shared" si="67"/>
        <v>0</v>
      </c>
    </row>
    <row r="347" spans="1:10" ht="14.4" thickBot="1" x14ac:dyDescent="0.3">
      <c r="C347" s="196" t="s">
        <v>82</v>
      </c>
      <c r="D347" s="197"/>
      <c r="E347" s="197"/>
      <c r="F347" s="134"/>
      <c r="G347" s="134">
        <f>SUM(G343:G346)</f>
        <v>2560</v>
      </c>
      <c r="H347" s="135">
        <f>G347/G364</f>
        <v>0.80706179066834804</v>
      </c>
      <c r="I347" s="134">
        <f t="shared" si="66"/>
        <v>179.20000000000002</v>
      </c>
      <c r="J347" s="123">
        <f t="shared" si="67"/>
        <v>128</v>
      </c>
    </row>
    <row r="348" spans="1:10" x14ac:dyDescent="0.25">
      <c r="C348" s="198" t="s">
        <v>75</v>
      </c>
      <c r="D348" s="199"/>
      <c r="E348" s="199"/>
      <c r="F348" s="199"/>
      <c r="G348" s="199"/>
      <c r="H348" s="199"/>
      <c r="I348" s="199"/>
      <c r="J348" s="128"/>
    </row>
    <row r="349" spans="1:10" x14ac:dyDescent="0.25">
      <c r="C349" s="192"/>
      <c r="D349" s="193"/>
      <c r="E349" s="193"/>
      <c r="F349" s="129"/>
      <c r="G349" s="130">
        <v>500</v>
      </c>
      <c r="H349" s="131">
        <f>G349/G364</f>
        <v>0.15762925598991173</v>
      </c>
      <c r="I349" s="130">
        <f>G349*7%</f>
        <v>35</v>
      </c>
      <c r="J349" s="86">
        <f>G349*5%</f>
        <v>25</v>
      </c>
    </row>
    <row r="350" spans="1:10" x14ac:dyDescent="0.25">
      <c r="C350" s="192"/>
      <c r="D350" s="193"/>
      <c r="E350" s="193"/>
      <c r="F350" s="129"/>
      <c r="G350" s="130">
        <v>34</v>
      </c>
      <c r="H350" s="131">
        <f>G350/G364</f>
        <v>1.0718789407313998E-2</v>
      </c>
      <c r="I350" s="130">
        <f t="shared" ref="I350:I364" si="68">G350*7%</f>
        <v>2.3800000000000003</v>
      </c>
      <c r="J350" s="86">
        <f t="shared" ref="J350:J364" si="69">G350*5%</f>
        <v>1.7000000000000002</v>
      </c>
    </row>
    <row r="351" spans="1:10" x14ac:dyDescent="0.25">
      <c r="C351" s="192"/>
      <c r="D351" s="193"/>
      <c r="E351" s="193"/>
      <c r="F351" s="130"/>
      <c r="G351" s="130">
        <v>78</v>
      </c>
      <c r="H351" s="131">
        <f>G351/G364</f>
        <v>2.4590163934426229E-2</v>
      </c>
      <c r="I351" s="130">
        <f t="shared" si="68"/>
        <v>5.4600000000000009</v>
      </c>
      <c r="J351" s="86">
        <f t="shared" si="69"/>
        <v>3.9000000000000004</v>
      </c>
    </row>
    <row r="352" spans="1:10" x14ac:dyDescent="0.25">
      <c r="C352" s="192"/>
      <c r="D352" s="193"/>
      <c r="E352" s="193"/>
      <c r="F352" s="130"/>
      <c r="G352" s="130"/>
      <c r="H352" s="131">
        <f>G352/G364</f>
        <v>0</v>
      </c>
      <c r="I352" s="130">
        <f t="shared" si="68"/>
        <v>0</v>
      </c>
      <c r="J352" s="86">
        <f t="shared" si="69"/>
        <v>0</v>
      </c>
    </row>
    <row r="353" spans="1:10" x14ac:dyDescent="0.25">
      <c r="C353" s="192"/>
      <c r="D353" s="193"/>
      <c r="E353" s="193"/>
      <c r="F353" s="130"/>
      <c r="G353" s="130"/>
      <c r="H353" s="131">
        <f>G353/G364</f>
        <v>0</v>
      </c>
      <c r="I353" s="130">
        <f t="shared" si="68"/>
        <v>0</v>
      </c>
      <c r="J353" s="86">
        <f t="shared" si="69"/>
        <v>0</v>
      </c>
    </row>
    <row r="354" spans="1:10" x14ac:dyDescent="0.25">
      <c r="C354" s="192"/>
      <c r="D354" s="193"/>
      <c r="E354" s="193"/>
      <c r="F354" s="130"/>
      <c r="G354" s="130"/>
      <c r="H354" s="131">
        <f>G354/G364</f>
        <v>0</v>
      </c>
      <c r="I354" s="130">
        <f t="shared" si="68"/>
        <v>0</v>
      </c>
      <c r="J354" s="86">
        <f t="shared" si="69"/>
        <v>0</v>
      </c>
    </row>
    <row r="355" spans="1:10" x14ac:dyDescent="0.25">
      <c r="C355" s="192"/>
      <c r="D355" s="193"/>
      <c r="E355" s="193"/>
      <c r="F355" s="130"/>
      <c r="G355" s="130"/>
      <c r="H355" s="131">
        <f>G355/G364</f>
        <v>0</v>
      </c>
      <c r="I355" s="130">
        <f t="shared" si="68"/>
        <v>0</v>
      </c>
      <c r="J355" s="86">
        <f t="shared" si="69"/>
        <v>0</v>
      </c>
    </row>
    <row r="356" spans="1:10" x14ac:dyDescent="0.25">
      <c r="C356" s="192"/>
      <c r="D356" s="193"/>
      <c r="E356" s="193"/>
      <c r="F356" s="130"/>
      <c r="G356" s="130"/>
      <c r="H356" s="131">
        <f>G356/G364</f>
        <v>0</v>
      </c>
      <c r="I356" s="130">
        <f t="shared" si="68"/>
        <v>0</v>
      </c>
      <c r="J356" s="86">
        <f t="shared" si="69"/>
        <v>0</v>
      </c>
    </row>
    <row r="357" spans="1:10" x14ac:dyDescent="0.25">
      <c r="C357" s="192"/>
      <c r="D357" s="193"/>
      <c r="E357" s="193"/>
      <c r="F357" s="130"/>
      <c r="G357" s="130"/>
      <c r="H357" s="131">
        <f>G357/G364</f>
        <v>0</v>
      </c>
      <c r="I357" s="130">
        <f t="shared" si="68"/>
        <v>0</v>
      </c>
      <c r="J357" s="86">
        <f t="shared" si="69"/>
        <v>0</v>
      </c>
    </row>
    <row r="358" spans="1:10" x14ac:dyDescent="0.25">
      <c r="C358" s="192"/>
      <c r="D358" s="193"/>
      <c r="E358" s="193"/>
      <c r="F358" s="130"/>
      <c r="G358" s="130"/>
      <c r="H358" s="131">
        <f>G358/G364</f>
        <v>0</v>
      </c>
      <c r="I358" s="130">
        <f t="shared" si="68"/>
        <v>0</v>
      </c>
      <c r="J358" s="86">
        <f t="shared" si="69"/>
        <v>0</v>
      </c>
    </row>
    <row r="359" spans="1:10" x14ac:dyDescent="0.25">
      <c r="C359" s="192"/>
      <c r="D359" s="193"/>
      <c r="E359" s="193"/>
      <c r="F359" s="130"/>
      <c r="G359" s="130"/>
      <c r="H359" s="131">
        <f>G359/G364</f>
        <v>0</v>
      </c>
      <c r="I359" s="130">
        <f t="shared" si="68"/>
        <v>0</v>
      </c>
      <c r="J359" s="86">
        <f t="shared" si="69"/>
        <v>0</v>
      </c>
    </row>
    <row r="360" spans="1:10" x14ac:dyDescent="0.25">
      <c r="C360" s="192"/>
      <c r="D360" s="193"/>
      <c r="E360" s="193"/>
      <c r="F360" s="130"/>
      <c r="G360" s="130"/>
      <c r="H360" s="131">
        <f>G360/G364</f>
        <v>0</v>
      </c>
      <c r="I360" s="130">
        <f t="shared" si="68"/>
        <v>0</v>
      </c>
      <c r="J360" s="86">
        <f t="shared" si="69"/>
        <v>0</v>
      </c>
    </row>
    <row r="361" spans="1:10" x14ac:dyDescent="0.25">
      <c r="C361" s="192"/>
      <c r="D361" s="193"/>
      <c r="E361" s="193"/>
      <c r="F361" s="130"/>
      <c r="G361" s="130"/>
      <c r="H361" s="131">
        <f>G361/G364</f>
        <v>0</v>
      </c>
      <c r="I361" s="130">
        <f t="shared" si="68"/>
        <v>0</v>
      </c>
      <c r="J361" s="86">
        <f t="shared" si="69"/>
        <v>0</v>
      </c>
    </row>
    <row r="362" spans="1:10" ht="14.4" thickBot="1" x14ac:dyDescent="0.3">
      <c r="C362" s="194"/>
      <c r="D362" s="195"/>
      <c r="E362" s="195"/>
      <c r="F362" s="132"/>
      <c r="G362" s="132"/>
      <c r="H362" s="133">
        <f>G362/G364</f>
        <v>0</v>
      </c>
      <c r="I362" s="132">
        <f t="shared" si="68"/>
        <v>0</v>
      </c>
      <c r="J362" s="113">
        <f t="shared" si="69"/>
        <v>0</v>
      </c>
    </row>
    <row r="363" spans="1:10" ht="14.4" thickBot="1" x14ac:dyDescent="0.3">
      <c r="C363" s="196" t="s">
        <v>81</v>
      </c>
      <c r="D363" s="197"/>
      <c r="E363" s="197"/>
      <c r="F363" s="134"/>
      <c r="G363" s="134">
        <f>SUM(G349:G362)</f>
        <v>612</v>
      </c>
      <c r="H363" s="135">
        <f>G363/G364</f>
        <v>0.19293820933165196</v>
      </c>
      <c r="I363" s="134">
        <f t="shared" si="68"/>
        <v>42.84</v>
      </c>
      <c r="J363" s="123">
        <f t="shared" si="69"/>
        <v>30.6</v>
      </c>
    </row>
    <row r="364" spans="1:10" ht="14.4" thickBot="1" x14ac:dyDescent="0.3">
      <c r="C364" s="196" t="s">
        <v>7</v>
      </c>
      <c r="D364" s="197"/>
      <c r="E364" s="197"/>
      <c r="F364" s="134"/>
      <c r="G364" s="134">
        <f>G347+G363</f>
        <v>3172</v>
      </c>
      <c r="H364" s="135">
        <f>G364/G364</f>
        <v>1</v>
      </c>
      <c r="I364" s="134">
        <f t="shared" si="68"/>
        <v>222.04000000000002</v>
      </c>
      <c r="J364" s="123">
        <f t="shared" si="69"/>
        <v>158.60000000000002</v>
      </c>
    </row>
    <row r="365" spans="1:10" ht="18" thickBot="1" x14ac:dyDescent="0.35">
      <c r="C365" s="182" t="str">
        <f>G68</f>
        <v>Plumbing</v>
      </c>
      <c r="E365" s="5"/>
      <c r="F365" s="5"/>
    </row>
    <row r="366" spans="1:10" ht="15" thickBot="1" x14ac:dyDescent="0.35">
      <c r="A366" s="185" t="s">
        <v>72</v>
      </c>
      <c r="C366" s="196" t="s">
        <v>0</v>
      </c>
      <c r="D366" s="197"/>
      <c r="E366" s="197"/>
      <c r="F366" s="125" t="s">
        <v>1</v>
      </c>
      <c r="G366" s="126" t="s">
        <v>73</v>
      </c>
      <c r="H366" s="126" t="s">
        <v>83</v>
      </c>
      <c r="I366" s="125" t="s">
        <v>3</v>
      </c>
      <c r="J366" s="127" t="s">
        <v>4</v>
      </c>
    </row>
    <row r="367" spans="1:10" x14ac:dyDescent="0.25">
      <c r="C367" s="198" t="s">
        <v>74</v>
      </c>
      <c r="D367" s="199"/>
      <c r="E367" s="199"/>
      <c r="F367" s="199"/>
      <c r="G367" s="199"/>
      <c r="H367" s="199"/>
      <c r="I367" s="199"/>
      <c r="J367" s="128"/>
    </row>
    <row r="368" spans="1:10" x14ac:dyDescent="0.25">
      <c r="C368" s="192"/>
      <c r="D368" s="193"/>
      <c r="E368" s="193"/>
      <c r="F368" s="129"/>
      <c r="G368" s="130">
        <v>1780</v>
      </c>
      <c r="H368" s="131">
        <f>G368/G389</f>
        <v>0.58018252933507175</v>
      </c>
      <c r="I368" s="130">
        <f>G368*7%</f>
        <v>124.60000000000001</v>
      </c>
      <c r="J368" s="86">
        <f>G368*5%</f>
        <v>89</v>
      </c>
    </row>
    <row r="369" spans="3:10" x14ac:dyDescent="0.25">
      <c r="C369" s="192"/>
      <c r="D369" s="193"/>
      <c r="E369" s="193"/>
      <c r="F369" s="129"/>
      <c r="G369" s="130">
        <v>900</v>
      </c>
      <c r="H369" s="131">
        <f>G369/G389</f>
        <v>0.29335071707953064</v>
      </c>
      <c r="I369" s="130">
        <f t="shared" ref="I369:I372" si="70">G369*7%</f>
        <v>63.000000000000007</v>
      </c>
      <c r="J369" s="86">
        <f t="shared" ref="J369:J372" si="71">G369*5%</f>
        <v>45</v>
      </c>
    </row>
    <row r="370" spans="3:10" x14ac:dyDescent="0.25">
      <c r="C370" s="192"/>
      <c r="D370" s="193"/>
      <c r="E370" s="193"/>
      <c r="F370" s="130"/>
      <c r="G370" s="130"/>
      <c r="H370" s="131">
        <f>G370/G389</f>
        <v>0</v>
      </c>
      <c r="I370" s="130">
        <f t="shared" si="70"/>
        <v>0</v>
      </c>
      <c r="J370" s="86">
        <f t="shared" si="71"/>
        <v>0</v>
      </c>
    </row>
    <row r="371" spans="3:10" ht="14.4" thickBot="1" x14ac:dyDescent="0.3">
      <c r="C371" s="194"/>
      <c r="D371" s="195"/>
      <c r="E371" s="195"/>
      <c r="F371" s="132"/>
      <c r="G371" s="132"/>
      <c r="H371" s="133">
        <f>G371/G389</f>
        <v>0</v>
      </c>
      <c r="I371" s="132">
        <f t="shared" si="70"/>
        <v>0</v>
      </c>
      <c r="J371" s="113">
        <f t="shared" si="71"/>
        <v>0</v>
      </c>
    </row>
    <row r="372" spans="3:10" ht="14.4" thickBot="1" x14ac:dyDescent="0.3">
      <c r="C372" s="196" t="s">
        <v>82</v>
      </c>
      <c r="D372" s="197"/>
      <c r="E372" s="197"/>
      <c r="F372" s="134"/>
      <c r="G372" s="134">
        <f>SUM(G368:G371)</f>
        <v>2680</v>
      </c>
      <c r="H372" s="135">
        <f>G372/G389</f>
        <v>0.87353324641460239</v>
      </c>
      <c r="I372" s="134">
        <f t="shared" si="70"/>
        <v>187.60000000000002</v>
      </c>
      <c r="J372" s="123">
        <f t="shared" si="71"/>
        <v>134</v>
      </c>
    </row>
    <row r="373" spans="3:10" x14ac:dyDescent="0.25">
      <c r="C373" s="198" t="s">
        <v>75</v>
      </c>
      <c r="D373" s="199"/>
      <c r="E373" s="199"/>
      <c r="F373" s="199"/>
      <c r="G373" s="199"/>
      <c r="H373" s="199"/>
      <c r="I373" s="199"/>
      <c r="J373" s="128"/>
    </row>
    <row r="374" spans="3:10" x14ac:dyDescent="0.25">
      <c r="C374" s="192"/>
      <c r="D374" s="193"/>
      <c r="E374" s="193"/>
      <c r="F374" s="129"/>
      <c r="G374" s="130">
        <v>300</v>
      </c>
      <c r="H374" s="131">
        <f>G374/G389</f>
        <v>9.7783572359843543E-2</v>
      </c>
      <c r="I374" s="130">
        <f>G374*7%</f>
        <v>21.000000000000004</v>
      </c>
      <c r="J374" s="86">
        <f>G374*5%</f>
        <v>15</v>
      </c>
    </row>
    <row r="375" spans="3:10" x14ac:dyDescent="0.25">
      <c r="C375" s="192"/>
      <c r="D375" s="193"/>
      <c r="E375" s="193"/>
      <c r="F375" s="129"/>
      <c r="G375" s="130">
        <v>67</v>
      </c>
      <c r="H375" s="131">
        <f>G375/G389</f>
        <v>2.1838331160365057E-2</v>
      </c>
      <c r="I375" s="130">
        <f t="shared" ref="I375:I389" si="72">G375*7%</f>
        <v>4.6900000000000004</v>
      </c>
      <c r="J375" s="86">
        <f t="shared" ref="J375:J389" si="73">G375*5%</f>
        <v>3.35</v>
      </c>
    </row>
    <row r="376" spans="3:10" x14ac:dyDescent="0.25">
      <c r="C376" s="192"/>
      <c r="D376" s="193"/>
      <c r="E376" s="193"/>
      <c r="F376" s="130"/>
      <c r="G376" s="130">
        <v>21</v>
      </c>
      <c r="H376" s="131">
        <f>G376/G389</f>
        <v>6.8448500651890481E-3</v>
      </c>
      <c r="I376" s="130">
        <f t="shared" si="72"/>
        <v>1.4700000000000002</v>
      </c>
      <c r="J376" s="86">
        <f t="shared" si="73"/>
        <v>1.05</v>
      </c>
    </row>
    <row r="377" spans="3:10" x14ac:dyDescent="0.25">
      <c r="C377" s="192"/>
      <c r="D377" s="193"/>
      <c r="E377" s="193"/>
      <c r="F377" s="130"/>
      <c r="G377" s="130"/>
      <c r="H377" s="131">
        <f>G377/G389</f>
        <v>0</v>
      </c>
      <c r="I377" s="130">
        <f t="shared" si="72"/>
        <v>0</v>
      </c>
      <c r="J377" s="86">
        <f t="shared" si="73"/>
        <v>0</v>
      </c>
    </row>
    <row r="378" spans="3:10" x14ac:dyDescent="0.25">
      <c r="C378" s="192"/>
      <c r="D378" s="193"/>
      <c r="E378" s="193"/>
      <c r="F378" s="130"/>
      <c r="G378" s="130"/>
      <c r="H378" s="131">
        <f>G378/G389</f>
        <v>0</v>
      </c>
      <c r="I378" s="130">
        <f t="shared" si="72"/>
        <v>0</v>
      </c>
      <c r="J378" s="86">
        <f t="shared" si="73"/>
        <v>0</v>
      </c>
    </row>
    <row r="379" spans="3:10" x14ac:dyDescent="0.25">
      <c r="C379" s="192"/>
      <c r="D379" s="193"/>
      <c r="E379" s="193"/>
      <c r="F379" s="130"/>
      <c r="G379" s="130"/>
      <c r="H379" s="131">
        <f>G379/G389</f>
        <v>0</v>
      </c>
      <c r="I379" s="130">
        <f t="shared" si="72"/>
        <v>0</v>
      </c>
      <c r="J379" s="86">
        <f t="shared" si="73"/>
        <v>0</v>
      </c>
    </row>
    <row r="380" spans="3:10" x14ac:dyDescent="0.25">
      <c r="C380" s="192"/>
      <c r="D380" s="193"/>
      <c r="E380" s="193"/>
      <c r="F380" s="130"/>
      <c r="G380" s="130"/>
      <c r="H380" s="131">
        <f>G380/G389</f>
        <v>0</v>
      </c>
      <c r="I380" s="130">
        <f t="shared" si="72"/>
        <v>0</v>
      </c>
      <c r="J380" s="86">
        <f t="shared" si="73"/>
        <v>0</v>
      </c>
    </row>
    <row r="381" spans="3:10" x14ac:dyDescent="0.25">
      <c r="C381" s="192"/>
      <c r="D381" s="193"/>
      <c r="E381" s="193"/>
      <c r="F381" s="130"/>
      <c r="G381" s="130"/>
      <c r="H381" s="131">
        <f>G381/G389</f>
        <v>0</v>
      </c>
      <c r="I381" s="130">
        <f t="shared" si="72"/>
        <v>0</v>
      </c>
      <c r="J381" s="86">
        <f t="shared" si="73"/>
        <v>0</v>
      </c>
    </row>
    <row r="382" spans="3:10" x14ac:dyDescent="0.25">
      <c r="C382" s="192"/>
      <c r="D382" s="193"/>
      <c r="E382" s="193"/>
      <c r="F382" s="130"/>
      <c r="G382" s="130"/>
      <c r="H382" s="131">
        <f>G382/G389</f>
        <v>0</v>
      </c>
      <c r="I382" s="130">
        <f t="shared" si="72"/>
        <v>0</v>
      </c>
      <c r="J382" s="86">
        <f t="shared" si="73"/>
        <v>0</v>
      </c>
    </row>
    <row r="383" spans="3:10" x14ac:dyDescent="0.25">
      <c r="C383" s="192"/>
      <c r="D383" s="193"/>
      <c r="E383" s="193"/>
      <c r="F383" s="130"/>
      <c r="G383" s="130"/>
      <c r="H383" s="131">
        <f>G383/G389</f>
        <v>0</v>
      </c>
      <c r="I383" s="130">
        <f t="shared" si="72"/>
        <v>0</v>
      </c>
      <c r="J383" s="86">
        <f t="shared" si="73"/>
        <v>0</v>
      </c>
    </row>
    <row r="384" spans="3:10" x14ac:dyDescent="0.25">
      <c r="C384" s="192"/>
      <c r="D384" s="193"/>
      <c r="E384" s="193"/>
      <c r="F384" s="130"/>
      <c r="G384" s="130"/>
      <c r="H384" s="131">
        <f>G384/G389</f>
        <v>0</v>
      </c>
      <c r="I384" s="130">
        <f t="shared" si="72"/>
        <v>0</v>
      </c>
      <c r="J384" s="86">
        <f t="shared" si="73"/>
        <v>0</v>
      </c>
    </row>
    <row r="385" spans="1:10" x14ac:dyDescent="0.25">
      <c r="C385" s="192"/>
      <c r="D385" s="193"/>
      <c r="E385" s="193"/>
      <c r="F385" s="130"/>
      <c r="G385" s="130"/>
      <c r="H385" s="131">
        <f>G385/G389</f>
        <v>0</v>
      </c>
      <c r="I385" s="130">
        <f t="shared" si="72"/>
        <v>0</v>
      </c>
      <c r="J385" s="86">
        <f t="shared" si="73"/>
        <v>0</v>
      </c>
    </row>
    <row r="386" spans="1:10" x14ac:dyDescent="0.25">
      <c r="C386" s="192"/>
      <c r="D386" s="193"/>
      <c r="E386" s="193"/>
      <c r="F386" s="130"/>
      <c r="G386" s="130"/>
      <c r="H386" s="131">
        <f>G386/G389</f>
        <v>0</v>
      </c>
      <c r="I386" s="130">
        <f t="shared" si="72"/>
        <v>0</v>
      </c>
      <c r="J386" s="86">
        <f t="shared" si="73"/>
        <v>0</v>
      </c>
    </row>
    <row r="387" spans="1:10" ht="14.4" thickBot="1" x14ac:dyDescent="0.3">
      <c r="C387" s="194"/>
      <c r="D387" s="195"/>
      <c r="E387" s="195"/>
      <c r="F387" s="132"/>
      <c r="G387" s="132"/>
      <c r="H387" s="133">
        <f>G387/G389</f>
        <v>0</v>
      </c>
      <c r="I387" s="132">
        <f t="shared" si="72"/>
        <v>0</v>
      </c>
      <c r="J387" s="113">
        <f t="shared" si="73"/>
        <v>0</v>
      </c>
    </row>
    <row r="388" spans="1:10" ht="14.4" thickBot="1" x14ac:dyDescent="0.3">
      <c r="C388" s="196" t="s">
        <v>81</v>
      </c>
      <c r="D388" s="197"/>
      <c r="E388" s="197"/>
      <c r="F388" s="134"/>
      <c r="G388" s="134">
        <f>SUM(G374:G387)</f>
        <v>388</v>
      </c>
      <c r="H388" s="135">
        <f>G388/G389</f>
        <v>0.12646675358539766</v>
      </c>
      <c r="I388" s="134">
        <f t="shared" si="72"/>
        <v>27.160000000000004</v>
      </c>
      <c r="J388" s="123">
        <f t="shared" si="73"/>
        <v>19.400000000000002</v>
      </c>
    </row>
    <row r="389" spans="1:10" ht="14.4" thickBot="1" x14ac:dyDescent="0.3">
      <c r="C389" s="196" t="s">
        <v>7</v>
      </c>
      <c r="D389" s="197"/>
      <c r="E389" s="197"/>
      <c r="F389" s="134"/>
      <c r="G389" s="134">
        <f>G372+G388</f>
        <v>3068</v>
      </c>
      <c r="H389" s="135">
        <f>G389/G389</f>
        <v>1</v>
      </c>
      <c r="I389" s="134">
        <f t="shared" si="72"/>
        <v>214.76000000000002</v>
      </c>
      <c r="J389" s="123">
        <f t="shared" si="73"/>
        <v>153.4</v>
      </c>
    </row>
    <row r="390" spans="1:10" ht="18" thickBot="1" x14ac:dyDescent="0.35">
      <c r="C390" s="182" t="str">
        <f>G69</f>
        <v>Landscaping</v>
      </c>
      <c r="E390" s="5"/>
      <c r="F390" s="5"/>
    </row>
    <row r="391" spans="1:10" ht="15" thickBot="1" x14ac:dyDescent="0.35">
      <c r="A391" s="185" t="s">
        <v>72</v>
      </c>
      <c r="C391" s="196" t="s">
        <v>0</v>
      </c>
      <c r="D391" s="197"/>
      <c r="E391" s="197"/>
      <c r="F391" s="125" t="s">
        <v>1</v>
      </c>
      <c r="G391" s="126" t="s">
        <v>73</v>
      </c>
      <c r="H391" s="126" t="s">
        <v>83</v>
      </c>
      <c r="I391" s="125" t="s">
        <v>3</v>
      </c>
      <c r="J391" s="127" t="s">
        <v>4</v>
      </c>
    </row>
    <row r="392" spans="1:10" x14ac:dyDescent="0.25">
      <c r="C392" s="198" t="s">
        <v>74</v>
      </c>
      <c r="D392" s="199"/>
      <c r="E392" s="199"/>
      <c r="F392" s="199"/>
      <c r="G392" s="199"/>
      <c r="H392" s="199"/>
      <c r="I392" s="199"/>
      <c r="J392" s="128"/>
    </row>
    <row r="393" spans="1:10" x14ac:dyDescent="0.25">
      <c r="C393" s="192"/>
      <c r="D393" s="193"/>
      <c r="E393" s="193"/>
      <c r="F393" s="129"/>
      <c r="G393" s="130">
        <v>3000</v>
      </c>
      <c r="H393" s="131">
        <f>G393/G414</f>
        <v>0.6</v>
      </c>
      <c r="I393" s="130">
        <f>G393*7%</f>
        <v>210.00000000000003</v>
      </c>
      <c r="J393" s="86">
        <f>G393*5%</f>
        <v>150</v>
      </c>
    </row>
    <row r="394" spans="1:10" x14ac:dyDescent="0.25">
      <c r="C394" s="192"/>
      <c r="D394" s="193"/>
      <c r="E394" s="193"/>
      <c r="F394" s="129"/>
      <c r="G394" s="130"/>
      <c r="H394" s="131">
        <f>G394/G414</f>
        <v>0</v>
      </c>
      <c r="I394" s="130">
        <f t="shared" ref="I394:I397" si="74">G394*7%</f>
        <v>0</v>
      </c>
      <c r="J394" s="86">
        <f t="shared" ref="J394:J397" si="75">G394*5%</f>
        <v>0</v>
      </c>
    </row>
    <row r="395" spans="1:10" x14ac:dyDescent="0.25">
      <c r="C395" s="192"/>
      <c r="D395" s="193"/>
      <c r="E395" s="193"/>
      <c r="F395" s="130"/>
      <c r="G395" s="130"/>
      <c r="H395" s="131">
        <f>G395/G414</f>
        <v>0</v>
      </c>
      <c r="I395" s="130">
        <f t="shared" si="74"/>
        <v>0</v>
      </c>
      <c r="J395" s="86">
        <f t="shared" si="75"/>
        <v>0</v>
      </c>
    </row>
    <row r="396" spans="1:10" ht="14.4" thickBot="1" x14ac:dyDescent="0.3">
      <c r="C396" s="194"/>
      <c r="D396" s="195"/>
      <c r="E396" s="195"/>
      <c r="F396" s="132"/>
      <c r="G396" s="132"/>
      <c r="H396" s="133">
        <f>G396/G414</f>
        <v>0</v>
      </c>
      <c r="I396" s="132">
        <f t="shared" si="74"/>
        <v>0</v>
      </c>
      <c r="J396" s="113">
        <f t="shared" si="75"/>
        <v>0</v>
      </c>
    </row>
    <row r="397" spans="1:10" ht="14.4" thickBot="1" x14ac:dyDescent="0.3">
      <c r="C397" s="196" t="s">
        <v>82</v>
      </c>
      <c r="D397" s="197"/>
      <c r="E397" s="197"/>
      <c r="F397" s="134"/>
      <c r="G397" s="134">
        <f>SUM(G393:G396)</f>
        <v>3000</v>
      </c>
      <c r="H397" s="135">
        <f>G397/G414</f>
        <v>0.6</v>
      </c>
      <c r="I397" s="134">
        <f t="shared" si="74"/>
        <v>210.00000000000003</v>
      </c>
      <c r="J397" s="123">
        <f t="shared" si="75"/>
        <v>150</v>
      </c>
    </row>
    <row r="398" spans="1:10" x14ac:dyDescent="0.25">
      <c r="C398" s="198" t="s">
        <v>75</v>
      </c>
      <c r="D398" s="199"/>
      <c r="E398" s="199"/>
      <c r="F398" s="199"/>
      <c r="G398" s="199"/>
      <c r="H398" s="199"/>
      <c r="I398" s="199"/>
      <c r="J398" s="128"/>
    </row>
    <row r="399" spans="1:10" x14ac:dyDescent="0.25">
      <c r="C399" s="192"/>
      <c r="D399" s="193"/>
      <c r="E399" s="193"/>
      <c r="F399" s="129"/>
      <c r="G399" s="130">
        <v>2000</v>
      </c>
      <c r="H399" s="131">
        <f>G399/G414</f>
        <v>0.4</v>
      </c>
      <c r="I399" s="130">
        <f>G399*7%</f>
        <v>140</v>
      </c>
      <c r="J399" s="86">
        <f>G399*5%</f>
        <v>100</v>
      </c>
    </row>
    <row r="400" spans="1:10" x14ac:dyDescent="0.25">
      <c r="C400" s="192"/>
      <c r="D400" s="193"/>
      <c r="E400" s="193"/>
      <c r="F400" s="129"/>
      <c r="G400" s="130"/>
      <c r="H400" s="131">
        <f>G400/G414</f>
        <v>0</v>
      </c>
      <c r="I400" s="130">
        <f t="shared" ref="I400:I414" si="76">G400*7%</f>
        <v>0</v>
      </c>
      <c r="J400" s="86">
        <f t="shared" ref="J400:J414" si="77">G400*5%</f>
        <v>0</v>
      </c>
    </row>
    <row r="401" spans="1:10" x14ac:dyDescent="0.25">
      <c r="C401" s="192"/>
      <c r="D401" s="193"/>
      <c r="E401" s="193"/>
      <c r="F401" s="130"/>
      <c r="G401" s="130"/>
      <c r="H401" s="131">
        <f>G401/G414</f>
        <v>0</v>
      </c>
      <c r="I401" s="130">
        <f t="shared" si="76"/>
        <v>0</v>
      </c>
      <c r="J401" s="86">
        <f t="shared" si="77"/>
        <v>0</v>
      </c>
    </row>
    <row r="402" spans="1:10" x14ac:dyDescent="0.25">
      <c r="C402" s="192"/>
      <c r="D402" s="193"/>
      <c r="E402" s="193"/>
      <c r="F402" s="130"/>
      <c r="G402" s="130"/>
      <c r="H402" s="131">
        <f>G402/G414</f>
        <v>0</v>
      </c>
      <c r="I402" s="130">
        <f t="shared" si="76"/>
        <v>0</v>
      </c>
      <c r="J402" s="86">
        <f t="shared" si="77"/>
        <v>0</v>
      </c>
    </row>
    <row r="403" spans="1:10" x14ac:dyDescent="0.25">
      <c r="C403" s="192"/>
      <c r="D403" s="193"/>
      <c r="E403" s="193"/>
      <c r="F403" s="130"/>
      <c r="G403" s="130"/>
      <c r="H403" s="131">
        <f>G403/G414</f>
        <v>0</v>
      </c>
      <c r="I403" s="130">
        <f t="shared" si="76"/>
        <v>0</v>
      </c>
      <c r="J403" s="86">
        <f t="shared" si="77"/>
        <v>0</v>
      </c>
    </row>
    <row r="404" spans="1:10" x14ac:dyDescent="0.25">
      <c r="C404" s="192"/>
      <c r="D404" s="193"/>
      <c r="E404" s="193"/>
      <c r="F404" s="130"/>
      <c r="G404" s="130"/>
      <c r="H404" s="131">
        <f>G404/G414</f>
        <v>0</v>
      </c>
      <c r="I404" s="130">
        <f t="shared" si="76"/>
        <v>0</v>
      </c>
      <c r="J404" s="86">
        <f t="shared" si="77"/>
        <v>0</v>
      </c>
    </row>
    <row r="405" spans="1:10" x14ac:dyDescent="0.25">
      <c r="C405" s="192"/>
      <c r="D405" s="193"/>
      <c r="E405" s="193"/>
      <c r="F405" s="130"/>
      <c r="G405" s="130"/>
      <c r="H405" s="131">
        <f>G405/G414</f>
        <v>0</v>
      </c>
      <c r="I405" s="130">
        <f t="shared" si="76"/>
        <v>0</v>
      </c>
      <c r="J405" s="86">
        <f t="shared" si="77"/>
        <v>0</v>
      </c>
    </row>
    <row r="406" spans="1:10" x14ac:dyDescent="0.25">
      <c r="C406" s="192"/>
      <c r="D406" s="193"/>
      <c r="E406" s="193"/>
      <c r="F406" s="130"/>
      <c r="G406" s="130"/>
      <c r="H406" s="131">
        <f>G406/G414</f>
        <v>0</v>
      </c>
      <c r="I406" s="130">
        <f t="shared" si="76"/>
        <v>0</v>
      </c>
      <c r="J406" s="86">
        <f t="shared" si="77"/>
        <v>0</v>
      </c>
    </row>
    <row r="407" spans="1:10" x14ac:dyDescent="0.25">
      <c r="C407" s="192"/>
      <c r="D407" s="193"/>
      <c r="E407" s="193"/>
      <c r="F407" s="130"/>
      <c r="G407" s="130"/>
      <c r="H407" s="131">
        <f>G407/G414</f>
        <v>0</v>
      </c>
      <c r="I407" s="130">
        <f t="shared" si="76"/>
        <v>0</v>
      </c>
      <c r="J407" s="86">
        <f t="shared" si="77"/>
        <v>0</v>
      </c>
    </row>
    <row r="408" spans="1:10" x14ac:dyDescent="0.25">
      <c r="C408" s="192"/>
      <c r="D408" s="193"/>
      <c r="E408" s="193"/>
      <c r="F408" s="130"/>
      <c r="G408" s="130"/>
      <c r="H408" s="131">
        <f>G408/G414</f>
        <v>0</v>
      </c>
      <c r="I408" s="130">
        <f t="shared" si="76"/>
        <v>0</v>
      </c>
      <c r="J408" s="86">
        <f t="shared" si="77"/>
        <v>0</v>
      </c>
    </row>
    <row r="409" spans="1:10" x14ac:dyDescent="0.25">
      <c r="C409" s="192"/>
      <c r="D409" s="193"/>
      <c r="E409" s="193"/>
      <c r="F409" s="130"/>
      <c r="G409" s="130"/>
      <c r="H409" s="131">
        <f>G409/G414</f>
        <v>0</v>
      </c>
      <c r="I409" s="130">
        <f t="shared" si="76"/>
        <v>0</v>
      </c>
      <c r="J409" s="86">
        <f t="shared" si="77"/>
        <v>0</v>
      </c>
    </row>
    <row r="410" spans="1:10" x14ac:dyDescent="0.25">
      <c r="C410" s="192"/>
      <c r="D410" s="193"/>
      <c r="E410" s="193"/>
      <c r="F410" s="130"/>
      <c r="G410" s="130"/>
      <c r="H410" s="131">
        <f>G410/G414</f>
        <v>0</v>
      </c>
      <c r="I410" s="130">
        <f t="shared" si="76"/>
        <v>0</v>
      </c>
      <c r="J410" s="86">
        <f t="shared" si="77"/>
        <v>0</v>
      </c>
    </row>
    <row r="411" spans="1:10" x14ac:dyDescent="0.25">
      <c r="C411" s="192"/>
      <c r="D411" s="193"/>
      <c r="E411" s="193"/>
      <c r="F411" s="130"/>
      <c r="G411" s="130"/>
      <c r="H411" s="131">
        <f>G411/G414</f>
        <v>0</v>
      </c>
      <c r="I411" s="130">
        <f t="shared" si="76"/>
        <v>0</v>
      </c>
      <c r="J411" s="86">
        <f t="shared" si="77"/>
        <v>0</v>
      </c>
    </row>
    <row r="412" spans="1:10" ht="14.4" thickBot="1" x14ac:dyDescent="0.3">
      <c r="C412" s="194"/>
      <c r="D412" s="195"/>
      <c r="E412" s="195"/>
      <c r="F412" s="132"/>
      <c r="G412" s="132"/>
      <c r="H412" s="133">
        <f>G412/G414</f>
        <v>0</v>
      </c>
      <c r="I412" s="132">
        <f t="shared" si="76"/>
        <v>0</v>
      </c>
      <c r="J412" s="113">
        <f t="shared" si="77"/>
        <v>0</v>
      </c>
    </row>
    <row r="413" spans="1:10" ht="14.4" thickBot="1" x14ac:dyDescent="0.3">
      <c r="C413" s="196" t="s">
        <v>81</v>
      </c>
      <c r="D413" s="197"/>
      <c r="E413" s="197"/>
      <c r="F413" s="134"/>
      <c r="G413" s="134">
        <f>SUM(G399:G412)</f>
        <v>2000</v>
      </c>
      <c r="H413" s="135">
        <f>G413/G414</f>
        <v>0.4</v>
      </c>
      <c r="I413" s="134">
        <f t="shared" si="76"/>
        <v>140</v>
      </c>
      <c r="J413" s="123">
        <f t="shared" si="77"/>
        <v>100</v>
      </c>
    </row>
    <row r="414" spans="1:10" ht="14.4" thickBot="1" x14ac:dyDescent="0.3">
      <c r="C414" s="196" t="s">
        <v>7</v>
      </c>
      <c r="D414" s="197"/>
      <c r="E414" s="197"/>
      <c r="F414" s="134"/>
      <c r="G414" s="134">
        <f>G397+G413</f>
        <v>5000</v>
      </c>
      <c r="H414" s="135">
        <f>G414/G414</f>
        <v>1</v>
      </c>
      <c r="I414" s="134">
        <f t="shared" si="76"/>
        <v>350.00000000000006</v>
      </c>
      <c r="J414" s="123">
        <f t="shared" si="77"/>
        <v>250</v>
      </c>
    </row>
    <row r="415" spans="1:10" ht="18" thickBot="1" x14ac:dyDescent="0.35">
      <c r="C415" s="182" t="str">
        <f>G70</f>
        <v>Siding</v>
      </c>
      <c r="E415" s="5"/>
      <c r="F415" s="5"/>
    </row>
    <row r="416" spans="1:10" ht="15" thickBot="1" x14ac:dyDescent="0.35">
      <c r="A416" s="185" t="s">
        <v>72</v>
      </c>
      <c r="C416" s="196" t="s">
        <v>0</v>
      </c>
      <c r="D416" s="197"/>
      <c r="E416" s="197"/>
      <c r="F416" s="125" t="s">
        <v>1</v>
      </c>
      <c r="G416" s="126" t="s">
        <v>73</v>
      </c>
      <c r="H416" s="126" t="s">
        <v>83</v>
      </c>
      <c r="I416" s="125" t="s">
        <v>3</v>
      </c>
      <c r="J416" s="127" t="s">
        <v>4</v>
      </c>
    </row>
    <row r="417" spans="3:10" x14ac:dyDescent="0.25">
      <c r="C417" s="198" t="s">
        <v>74</v>
      </c>
      <c r="D417" s="199"/>
      <c r="E417" s="199"/>
      <c r="F417" s="199"/>
      <c r="G417" s="199"/>
      <c r="H417" s="199"/>
      <c r="I417" s="199"/>
      <c r="J417" s="128"/>
    </row>
    <row r="418" spans="3:10" x14ac:dyDescent="0.25">
      <c r="C418" s="192"/>
      <c r="D418" s="193"/>
      <c r="E418" s="193"/>
      <c r="F418" s="129"/>
      <c r="G418" s="130">
        <v>3500</v>
      </c>
      <c r="H418" s="131">
        <f>G418/G439</f>
        <v>0.45584787705131546</v>
      </c>
      <c r="I418" s="130">
        <f>G418*7%</f>
        <v>245.00000000000003</v>
      </c>
      <c r="J418" s="86">
        <f>G418*5%</f>
        <v>175</v>
      </c>
    </row>
    <row r="419" spans="3:10" x14ac:dyDescent="0.25">
      <c r="C419" s="192"/>
      <c r="D419" s="193"/>
      <c r="E419" s="193"/>
      <c r="F419" s="129"/>
      <c r="G419" s="130">
        <v>0</v>
      </c>
      <c r="H419" s="131">
        <f>G419/G439</f>
        <v>0</v>
      </c>
      <c r="I419" s="130">
        <f t="shared" ref="I419:I422" si="78">G419*7%</f>
        <v>0</v>
      </c>
      <c r="J419" s="86">
        <f t="shared" ref="J419:J422" si="79">G419*5%</f>
        <v>0</v>
      </c>
    </row>
    <row r="420" spans="3:10" x14ac:dyDescent="0.25">
      <c r="C420" s="192"/>
      <c r="D420" s="193"/>
      <c r="E420" s="193"/>
      <c r="F420" s="130"/>
      <c r="G420" s="130"/>
      <c r="H420" s="131">
        <f>G420/G439</f>
        <v>0</v>
      </c>
      <c r="I420" s="130">
        <f t="shared" si="78"/>
        <v>0</v>
      </c>
      <c r="J420" s="86">
        <f t="shared" si="79"/>
        <v>0</v>
      </c>
    </row>
    <row r="421" spans="3:10" ht="14.4" thickBot="1" x14ac:dyDescent="0.3">
      <c r="C421" s="194"/>
      <c r="D421" s="195"/>
      <c r="E421" s="195"/>
      <c r="F421" s="132"/>
      <c r="G421" s="132"/>
      <c r="H421" s="133">
        <f>G421/G439</f>
        <v>0</v>
      </c>
      <c r="I421" s="132">
        <f t="shared" si="78"/>
        <v>0</v>
      </c>
      <c r="J421" s="113">
        <f t="shared" si="79"/>
        <v>0</v>
      </c>
    </row>
    <row r="422" spans="3:10" ht="14.4" thickBot="1" x14ac:dyDescent="0.3">
      <c r="C422" s="196" t="s">
        <v>82</v>
      </c>
      <c r="D422" s="197"/>
      <c r="E422" s="197"/>
      <c r="F422" s="134"/>
      <c r="G422" s="134">
        <f>SUM(G418:G421)</f>
        <v>3500</v>
      </c>
      <c r="H422" s="135">
        <f>G422/G439</f>
        <v>0.45584787705131546</v>
      </c>
      <c r="I422" s="134">
        <f t="shared" si="78"/>
        <v>245.00000000000003</v>
      </c>
      <c r="J422" s="123">
        <f t="shared" si="79"/>
        <v>175</v>
      </c>
    </row>
    <row r="423" spans="3:10" x14ac:dyDescent="0.25">
      <c r="C423" s="198" t="s">
        <v>75</v>
      </c>
      <c r="D423" s="199"/>
      <c r="E423" s="199"/>
      <c r="F423" s="199"/>
      <c r="G423" s="199"/>
      <c r="H423" s="199"/>
      <c r="I423" s="199"/>
      <c r="J423" s="128"/>
    </row>
    <row r="424" spans="3:10" x14ac:dyDescent="0.25">
      <c r="C424" s="192"/>
      <c r="D424" s="193"/>
      <c r="E424" s="193"/>
      <c r="F424" s="129"/>
      <c r="G424" s="130">
        <v>4000</v>
      </c>
      <c r="H424" s="131">
        <f>G424/G439</f>
        <v>0.5209690023443605</v>
      </c>
      <c r="I424" s="130">
        <f>G424*7%</f>
        <v>280</v>
      </c>
      <c r="J424" s="86">
        <f>G424*5%</f>
        <v>200</v>
      </c>
    </row>
    <row r="425" spans="3:10" x14ac:dyDescent="0.25">
      <c r="C425" s="192"/>
      <c r="D425" s="193"/>
      <c r="E425" s="193"/>
      <c r="F425" s="129"/>
      <c r="G425" s="130">
        <v>100</v>
      </c>
      <c r="H425" s="131">
        <f>G425/G439</f>
        <v>1.3024225058609012E-2</v>
      </c>
      <c r="I425" s="130">
        <f t="shared" ref="I425:I439" si="80">G425*7%</f>
        <v>7.0000000000000009</v>
      </c>
      <c r="J425" s="86">
        <f t="shared" ref="J425:J439" si="81">G425*5%</f>
        <v>5</v>
      </c>
    </row>
    <row r="426" spans="3:10" x14ac:dyDescent="0.25">
      <c r="C426" s="192"/>
      <c r="D426" s="193"/>
      <c r="E426" s="193"/>
      <c r="F426" s="130"/>
      <c r="G426" s="130">
        <v>78</v>
      </c>
      <c r="H426" s="131">
        <f>G426/G439</f>
        <v>1.015889554571503E-2</v>
      </c>
      <c r="I426" s="130">
        <f t="shared" si="80"/>
        <v>5.4600000000000009</v>
      </c>
      <c r="J426" s="86">
        <f t="shared" si="81"/>
        <v>3.9000000000000004</v>
      </c>
    </row>
    <row r="427" spans="3:10" x14ac:dyDescent="0.25">
      <c r="C427" s="192"/>
      <c r="D427" s="193"/>
      <c r="E427" s="193"/>
      <c r="F427" s="130"/>
      <c r="G427" s="130"/>
      <c r="H427" s="131">
        <f>G427/G439</f>
        <v>0</v>
      </c>
      <c r="I427" s="130">
        <f t="shared" si="80"/>
        <v>0</v>
      </c>
      <c r="J427" s="86">
        <f t="shared" si="81"/>
        <v>0</v>
      </c>
    </row>
    <row r="428" spans="3:10" x14ac:dyDescent="0.25">
      <c r="C428" s="192"/>
      <c r="D428" s="193"/>
      <c r="E428" s="193"/>
      <c r="F428" s="130"/>
      <c r="G428" s="130"/>
      <c r="H428" s="131">
        <f>G428/G439</f>
        <v>0</v>
      </c>
      <c r="I428" s="130">
        <f t="shared" si="80"/>
        <v>0</v>
      </c>
      <c r="J428" s="86">
        <f t="shared" si="81"/>
        <v>0</v>
      </c>
    </row>
    <row r="429" spans="3:10" x14ac:dyDescent="0.25">
      <c r="C429" s="192"/>
      <c r="D429" s="193"/>
      <c r="E429" s="193"/>
      <c r="F429" s="130"/>
      <c r="G429" s="130"/>
      <c r="H429" s="131">
        <f>G429/G439</f>
        <v>0</v>
      </c>
      <c r="I429" s="130">
        <f t="shared" si="80"/>
        <v>0</v>
      </c>
      <c r="J429" s="86">
        <f t="shared" si="81"/>
        <v>0</v>
      </c>
    </row>
    <row r="430" spans="3:10" x14ac:dyDescent="0.25">
      <c r="C430" s="192"/>
      <c r="D430" s="193"/>
      <c r="E430" s="193"/>
      <c r="F430" s="130"/>
      <c r="G430" s="130"/>
      <c r="H430" s="131">
        <f>G430/G439</f>
        <v>0</v>
      </c>
      <c r="I430" s="130">
        <f t="shared" si="80"/>
        <v>0</v>
      </c>
      <c r="J430" s="86">
        <f t="shared" si="81"/>
        <v>0</v>
      </c>
    </row>
    <row r="431" spans="3:10" x14ac:dyDescent="0.25">
      <c r="C431" s="192"/>
      <c r="D431" s="193"/>
      <c r="E431" s="193"/>
      <c r="F431" s="130"/>
      <c r="G431" s="130"/>
      <c r="H431" s="131">
        <f>G431/G439</f>
        <v>0</v>
      </c>
      <c r="I431" s="130">
        <f t="shared" si="80"/>
        <v>0</v>
      </c>
      <c r="J431" s="86">
        <f t="shared" si="81"/>
        <v>0</v>
      </c>
    </row>
    <row r="432" spans="3:10" x14ac:dyDescent="0.25">
      <c r="C432" s="192"/>
      <c r="D432" s="193"/>
      <c r="E432" s="193"/>
      <c r="F432" s="130"/>
      <c r="G432" s="130"/>
      <c r="H432" s="131">
        <f>G432/G439</f>
        <v>0</v>
      </c>
      <c r="I432" s="130">
        <f t="shared" si="80"/>
        <v>0</v>
      </c>
      <c r="J432" s="86">
        <f t="shared" si="81"/>
        <v>0</v>
      </c>
    </row>
    <row r="433" spans="1:10" x14ac:dyDescent="0.25">
      <c r="C433" s="192"/>
      <c r="D433" s="193"/>
      <c r="E433" s="193"/>
      <c r="F433" s="130"/>
      <c r="G433" s="130"/>
      <c r="H433" s="131">
        <f>G433/G439</f>
        <v>0</v>
      </c>
      <c r="I433" s="130">
        <f t="shared" si="80"/>
        <v>0</v>
      </c>
      <c r="J433" s="86">
        <f t="shared" si="81"/>
        <v>0</v>
      </c>
    </row>
    <row r="434" spans="1:10" x14ac:dyDescent="0.25">
      <c r="C434" s="192"/>
      <c r="D434" s="193"/>
      <c r="E434" s="193"/>
      <c r="F434" s="130"/>
      <c r="G434" s="130"/>
      <c r="H434" s="131">
        <f>G434/G439</f>
        <v>0</v>
      </c>
      <c r="I434" s="130">
        <f t="shared" si="80"/>
        <v>0</v>
      </c>
      <c r="J434" s="86">
        <f t="shared" si="81"/>
        <v>0</v>
      </c>
    </row>
    <row r="435" spans="1:10" x14ac:dyDescent="0.25">
      <c r="C435" s="192"/>
      <c r="D435" s="193"/>
      <c r="E435" s="193"/>
      <c r="F435" s="130"/>
      <c r="G435" s="130"/>
      <c r="H435" s="131">
        <f>G435/G439</f>
        <v>0</v>
      </c>
      <c r="I435" s="130">
        <f t="shared" si="80"/>
        <v>0</v>
      </c>
      <c r="J435" s="86">
        <f t="shared" si="81"/>
        <v>0</v>
      </c>
    </row>
    <row r="436" spans="1:10" x14ac:dyDescent="0.25">
      <c r="C436" s="192"/>
      <c r="D436" s="193"/>
      <c r="E436" s="193"/>
      <c r="F436" s="130"/>
      <c r="G436" s="130"/>
      <c r="H436" s="131">
        <f>G436/G439</f>
        <v>0</v>
      </c>
      <c r="I436" s="130">
        <f t="shared" si="80"/>
        <v>0</v>
      </c>
      <c r="J436" s="86">
        <f t="shared" si="81"/>
        <v>0</v>
      </c>
    </row>
    <row r="437" spans="1:10" ht="14.4" thickBot="1" x14ac:dyDescent="0.3">
      <c r="C437" s="194"/>
      <c r="D437" s="195"/>
      <c r="E437" s="195"/>
      <c r="F437" s="132"/>
      <c r="G437" s="132"/>
      <c r="H437" s="133">
        <f>G437/G439</f>
        <v>0</v>
      </c>
      <c r="I437" s="132">
        <f t="shared" si="80"/>
        <v>0</v>
      </c>
      <c r="J437" s="113">
        <f t="shared" si="81"/>
        <v>0</v>
      </c>
    </row>
    <row r="438" spans="1:10" ht="14.4" thickBot="1" x14ac:dyDescent="0.3">
      <c r="C438" s="196" t="s">
        <v>81</v>
      </c>
      <c r="D438" s="197"/>
      <c r="E438" s="197"/>
      <c r="F438" s="134"/>
      <c r="G438" s="134">
        <f>SUM(G424:G437)</f>
        <v>4178</v>
      </c>
      <c r="H438" s="135">
        <f>G438/G439</f>
        <v>0.54415212294868454</v>
      </c>
      <c r="I438" s="134">
        <f t="shared" si="80"/>
        <v>292.46000000000004</v>
      </c>
      <c r="J438" s="123">
        <f t="shared" si="81"/>
        <v>208.9</v>
      </c>
    </row>
    <row r="439" spans="1:10" ht="14.4" thickBot="1" x14ac:dyDescent="0.3">
      <c r="C439" s="196" t="s">
        <v>7</v>
      </c>
      <c r="D439" s="197"/>
      <c r="E439" s="197"/>
      <c r="F439" s="134"/>
      <c r="G439" s="134">
        <f>G422+G438</f>
        <v>7678</v>
      </c>
      <c r="H439" s="135">
        <f>G439/G439</f>
        <v>1</v>
      </c>
      <c r="I439" s="134">
        <f t="shared" si="80"/>
        <v>537.46</v>
      </c>
      <c r="J439" s="123">
        <f t="shared" si="81"/>
        <v>383.90000000000003</v>
      </c>
    </row>
    <row r="440" spans="1:10" ht="18" thickBot="1" x14ac:dyDescent="0.35">
      <c r="C440" s="182" t="str">
        <f>G71</f>
        <v>Painting</v>
      </c>
      <c r="E440" s="5"/>
      <c r="F440" s="5"/>
    </row>
    <row r="441" spans="1:10" ht="15" thickBot="1" x14ac:dyDescent="0.35">
      <c r="A441" s="185" t="s">
        <v>72</v>
      </c>
      <c r="C441" s="196" t="s">
        <v>0</v>
      </c>
      <c r="D441" s="197"/>
      <c r="E441" s="197"/>
      <c r="F441" s="125" t="s">
        <v>1</v>
      </c>
      <c r="G441" s="126" t="s">
        <v>73</v>
      </c>
      <c r="H441" s="126" t="s">
        <v>83</v>
      </c>
      <c r="I441" s="125" t="s">
        <v>3</v>
      </c>
      <c r="J441" s="127" t="s">
        <v>4</v>
      </c>
    </row>
    <row r="442" spans="1:10" x14ac:dyDescent="0.25">
      <c r="C442" s="198" t="s">
        <v>74</v>
      </c>
      <c r="D442" s="199"/>
      <c r="E442" s="199"/>
      <c r="F442" s="199"/>
      <c r="G442" s="199"/>
      <c r="H442" s="199"/>
      <c r="I442" s="199"/>
      <c r="J442" s="128"/>
    </row>
    <row r="443" spans="1:10" x14ac:dyDescent="0.25">
      <c r="C443" s="192"/>
      <c r="D443" s="193"/>
      <c r="E443" s="193"/>
      <c r="F443" s="129"/>
      <c r="G443" s="130">
        <v>1000</v>
      </c>
      <c r="H443" s="131">
        <f>G443/G464</f>
        <v>0.58823529411764708</v>
      </c>
      <c r="I443" s="130">
        <f>G443*7%</f>
        <v>70</v>
      </c>
      <c r="J443" s="86">
        <f>G443*5%</f>
        <v>50</v>
      </c>
    </row>
    <row r="444" spans="1:10" x14ac:dyDescent="0.25">
      <c r="C444" s="192"/>
      <c r="D444" s="193"/>
      <c r="E444" s="193"/>
      <c r="F444" s="129"/>
      <c r="G444" s="130">
        <v>200</v>
      </c>
      <c r="H444" s="131">
        <f>G444/G464</f>
        <v>0.11764705882352941</v>
      </c>
      <c r="I444" s="130">
        <f t="shared" ref="I444:I447" si="82">G444*7%</f>
        <v>14.000000000000002</v>
      </c>
      <c r="J444" s="86">
        <f t="shared" ref="J444:J447" si="83">G444*5%</f>
        <v>10</v>
      </c>
    </row>
    <row r="445" spans="1:10" x14ac:dyDescent="0.25">
      <c r="C445" s="192"/>
      <c r="D445" s="193"/>
      <c r="E445" s="193"/>
      <c r="F445" s="130"/>
      <c r="G445" s="130"/>
      <c r="H445" s="131">
        <f>G445/G464</f>
        <v>0</v>
      </c>
      <c r="I445" s="130">
        <f t="shared" si="82"/>
        <v>0</v>
      </c>
      <c r="J445" s="86">
        <f t="shared" si="83"/>
        <v>0</v>
      </c>
    </row>
    <row r="446" spans="1:10" ht="14.4" thickBot="1" x14ac:dyDescent="0.3">
      <c r="C446" s="194"/>
      <c r="D446" s="195"/>
      <c r="E446" s="195"/>
      <c r="F446" s="132"/>
      <c r="G446" s="132"/>
      <c r="H446" s="133">
        <f>G446/G464</f>
        <v>0</v>
      </c>
      <c r="I446" s="132">
        <f t="shared" si="82"/>
        <v>0</v>
      </c>
      <c r="J446" s="113">
        <f t="shared" si="83"/>
        <v>0</v>
      </c>
    </row>
    <row r="447" spans="1:10" ht="14.4" thickBot="1" x14ac:dyDescent="0.3">
      <c r="C447" s="196" t="s">
        <v>82</v>
      </c>
      <c r="D447" s="197"/>
      <c r="E447" s="197"/>
      <c r="F447" s="134"/>
      <c r="G447" s="134">
        <f>SUM(G443:G446)</f>
        <v>1200</v>
      </c>
      <c r="H447" s="135">
        <f>G447/G464</f>
        <v>0.70588235294117652</v>
      </c>
      <c r="I447" s="134">
        <f t="shared" si="82"/>
        <v>84.000000000000014</v>
      </c>
      <c r="J447" s="123">
        <f t="shared" si="83"/>
        <v>60</v>
      </c>
    </row>
    <row r="448" spans="1:10" x14ac:dyDescent="0.25">
      <c r="C448" s="198" t="s">
        <v>75</v>
      </c>
      <c r="D448" s="199"/>
      <c r="E448" s="199"/>
      <c r="F448" s="199"/>
      <c r="G448" s="199"/>
      <c r="H448" s="199"/>
      <c r="I448" s="199"/>
      <c r="J448" s="128"/>
    </row>
    <row r="449" spans="1:10" x14ac:dyDescent="0.25">
      <c r="C449" s="192"/>
      <c r="D449" s="193"/>
      <c r="E449" s="193"/>
      <c r="F449" s="129"/>
      <c r="G449" s="130">
        <v>500</v>
      </c>
      <c r="H449" s="131">
        <f>G449/G464</f>
        <v>0.29411764705882354</v>
      </c>
      <c r="I449" s="130">
        <f>G449*7%</f>
        <v>35</v>
      </c>
      <c r="J449" s="86">
        <f>G449*5%</f>
        <v>25</v>
      </c>
    </row>
    <row r="450" spans="1:10" x14ac:dyDescent="0.25">
      <c r="C450" s="192"/>
      <c r="D450" s="193"/>
      <c r="E450" s="193"/>
      <c r="F450" s="129"/>
      <c r="G450" s="130"/>
      <c r="H450" s="131">
        <f>G450/G464</f>
        <v>0</v>
      </c>
      <c r="I450" s="130">
        <f t="shared" ref="I450:I464" si="84">G450*7%</f>
        <v>0</v>
      </c>
      <c r="J450" s="86">
        <f t="shared" ref="J450:J464" si="85">G450*5%</f>
        <v>0</v>
      </c>
    </row>
    <row r="451" spans="1:10" x14ac:dyDescent="0.25">
      <c r="C451" s="192"/>
      <c r="D451" s="193"/>
      <c r="E451" s="193"/>
      <c r="F451" s="130"/>
      <c r="G451" s="130"/>
      <c r="H451" s="131">
        <f>G451/G464</f>
        <v>0</v>
      </c>
      <c r="I451" s="130">
        <f t="shared" si="84"/>
        <v>0</v>
      </c>
      <c r="J451" s="86">
        <f t="shared" si="85"/>
        <v>0</v>
      </c>
    </row>
    <row r="452" spans="1:10" x14ac:dyDescent="0.25">
      <c r="C452" s="192"/>
      <c r="D452" s="193"/>
      <c r="E452" s="193"/>
      <c r="F452" s="130"/>
      <c r="G452" s="130"/>
      <c r="H452" s="131">
        <f>G452/G464</f>
        <v>0</v>
      </c>
      <c r="I452" s="130">
        <f t="shared" si="84"/>
        <v>0</v>
      </c>
      <c r="J452" s="86">
        <f t="shared" si="85"/>
        <v>0</v>
      </c>
    </row>
    <row r="453" spans="1:10" x14ac:dyDescent="0.25">
      <c r="A453" s="63"/>
      <c r="C453" s="192"/>
      <c r="D453" s="193"/>
      <c r="E453" s="193"/>
      <c r="F453" s="130"/>
      <c r="G453" s="130"/>
      <c r="H453" s="131">
        <f>G453/G464</f>
        <v>0</v>
      </c>
      <c r="I453" s="130">
        <f t="shared" si="84"/>
        <v>0</v>
      </c>
      <c r="J453" s="86">
        <f t="shared" si="85"/>
        <v>0</v>
      </c>
    </row>
    <row r="454" spans="1:10" x14ac:dyDescent="0.25">
      <c r="C454" s="192"/>
      <c r="D454" s="193"/>
      <c r="E454" s="193"/>
      <c r="F454" s="130"/>
      <c r="G454" s="130"/>
      <c r="H454" s="131">
        <f>G454/G464</f>
        <v>0</v>
      </c>
      <c r="I454" s="130">
        <f t="shared" si="84"/>
        <v>0</v>
      </c>
      <c r="J454" s="86">
        <f t="shared" si="85"/>
        <v>0</v>
      </c>
    </row>
    <row r="455" spans="1:10" x14ac:dyDescent="0.25">
      <c r="C455" s="192"/>
      <c r="D455" s="193"/>
      <c r="E455" s="193"/>
      <c r="F455" s="130"/>
      <c r="G455" s="130"/>
      <c r="H455" s="131">
        <f>G455/G464</f>
        <v>0</v>
      </c>
      <c r="I455" s="130">
        <f t="shared" si="84"/>
        <v>0</v>
      </c>
      <c r="J455" s="86">
        <f t="shared" si="85"/>
        <v>0</v>
      </c>
    </row>
    <row r="456" spans="1:10" x14ac:dyDescent="0.25">
      <c r="C456" s="192"/>
      <c r="D456" s="193"/>
      <c r="E456" s="193"/>
      <c r="F456" s="130"/>
      <c r="G456" s="130"/>
      <c r="H456" s="131">
        <f>G456/G464</f>
        <v>0</v>
      </c>
      <c r="I456" s="130">
        <f t="shared" si="84"/>
        <v>0</v>
      </c>
      <c r="J456" s="86">
        <f t="shared" si="85"/>
        <v>0</v>
      </c>
    </row>
    <row r="457" spans="1:10" x14ac:dyDescent="0.25">
      <c r="C457" s="192"/>
      <c r="D457" s="193"/>
      <c r="E457" s="193"/>
      <c r="F457" s="130"/>
      <c r="G457" s="130"/>
      <c r="H457" s="131">
        <f>G457/G464</f>
        <v>0</v>
      </c>
      <c r="I457" s="130">
        <f t="shared" si="84"/>
        <v>0</v>
      </c>
      <c r="J457" s="86">
        <f t="shared" si="85"/>
        <v>0</v>
      </c>
    </row>
    <row r="458" spans="1:10" x14ac:dyDescent="0.25">
      <c r="C458" s="192"/>
      <c r="D458" s="193"/>
      <c r="E458" s="193"/>
      <c r="F458" s="130"/>
      <c r="G458" s="130"/>
      <c r="H458" s="131">
        <f>G458/G464</f>
        <v>0</v>
      </c>
      <c r="I458" s="130">
        <f t="shared" si="84"/>
        <v>0</v>
      </c>
      <c r="J458" s="86">
        <f t="shared" si="85"/>
        <v>0</v>
      </c>
    </row>
    <row r="459" spans="1:10" x14ac:dyDescent="0.25">
      <c r="C459" s="192"/>
      <c r="D459" s="193"/>
      <c r="E459" s="193"/>
      <c r="F459" s="130"/>
      <c r="G459" s="130"/>
      <c r="H459" s="131">
        <f>G459/G464</f>
        <v>0</v>
      </c>
      <c r="I459" s="130">
        <f t="shared" si="84"/>
        <v>0</v>
      </c>
      <c r="J459" s="86">
        <f t="shared" si="85"/>
        <v>0</v>
      </c>
    </row>
    <row r="460" spans="1:10" x14ac:dyDescent="0.25">
      <c r="C460" s="192"/>
      <c r="D460" s="193"/>
      <c r="E460" s="193"/>
      <c r="F460" s="130"/>
      <c r="G460" s="130"/>
      <c r="H460" s="131">
        <f>G460/G464</f>
        <v>0</v>
      </c>
      <c r="I460" s="130">
        <f t="shared" si="84"/>
        <v>0</v>
      </c>
      <c r="J460" s="86">
        <f t="shared" si="85"/>
        <v>0</v>
      </c>
    </row>
    <row r="461" spans="1:10" x14ac:dyDescent="0.25">
      <c r="C461" s="192"/>
      <c r="D461" s="193"/>
      <c r="E461" s="193"/>
      <c r="F461" s="130"/>
      <c r="G461" s="130"/>
      <c r="H461" s="131">
        <f>G461/G464</f>
        <v>0</v>
      </c>
      <c r="I461" s="130">
        <f t="shared" si="84"/>
        <v>0</v>
      </c>
      <c r="J461" s="86">
        <f t="shared" si="85"/>
        <v>0</v>
      </c>
    </row>
    <row r="462" spans="1:10" ht="14.4" thickBot="1" x14ac:dyDescent="0.3">
      <c r="C462" s="194"/>
      <c r="D462" s="195"/>
      <c r="E462" s="195"/>
      <c r="F462" s="132"/>
      <c r="G462" s="132"/>
      <c r="H462" s="133">
        <f>G462/G464</f>
        <v>0</v>
      </c>
      <c r="I462" s="132">
        <f t="shared" si="84"/>
        <v>0</v>
      </c>
      <c r="J462" s="113">
        <f t="shared" si="85"/>
        <v>0</v>
      </c>
    </row>
    <row r="463" spans="1:10" ht="14.4" thickBot="1" x14ac:dyDescent="0.3">
      <c r="C463" s="196" t="s">
        <v>81</v>
      </c>
      <c r="D463" s="197"/>
      <c r="E463" s="197"/>
      <c r="F463" s="134"/>
      <c r="G463" s="134">
        <f>SUM(G449:G462)</f>
        <v>500</v>
      </c>
      <c r="H463" s="135">
        <f>G463/G464</f>
        <v>0.29411764705882354</v>
      </c>
      <c r="I463" s="134">
        <f t="shared" si="84"/>
        <v>35</v>
      </c>
      <c r="J463" s="123">
        <f t="shared" si="85"/>
        <v>25</v>
      </c>
    </row>
    <row r="464" spans="1:10" ht="14.4" thickBot="1" x14ac:dyDescent="0.3">
      <c r="C464" s="196" t="s">
        <v>7</v>
      </c>
      <c r="D464" s="197"/>
      <c r="E464" s="197"/>
      <c r="F464" s="134"/>
      <c r="G464" s="134">
        <f>G447+G463</f>
        <v>1700</v>
      </c>
      <c r="H464" s="135">
        <f>G464/G464</f>
        <v>1</v>
      </c>
      <c r="I464" s="134">
        <f t="shared" si="84"/>
        <v>119.00000000000001</v>
      </c>
      <c r="J464" s="123">
        <f t="shared" si="85"/>
        <v>85</v>
      </c>
    </row>
    <row r="465" spans="1:10" ht="18" thickBot="1" x14ac:dyDescent="0.35">
      <c r="C465" s="182" t="str">
        <f>G72</f>
        <v>Deck</v>
      </c>
      <c r="E465" s="5"/>
      <c r="F465" s="5"/>
    </row>
    <row r="466" spans="1:10" ht="15" thickBot="1" x14ac:dyDescent="0.35">
      <c r="A466" s="185" t="s">
        <v>72</v>
      </c>
      <c r="C466" s="196" t="s">
        <v>0</v>
      </c>
      <c r="D466" s="197"/>
      <c r="E466" s="197"/>
      <c r="F466" s="125" t="s">
        <v>1</v>
      </c>
      <c r="G466" s="126" t="s">
        <v>73</v>
      </c>
      <c r="H466" s="126" t="s">
        <v>83</v>
      </c>
      <c r="I466" s="125" t="s">
        <v>3</v>
      </c>
      <c r="J466" s="127" t="s">
        <v>4</v>
      </c>
    </row>
    <row r="467" spans="1:10" x14ac:dyDescent="0.25">
      <c r="C467" s="198" t="s">
        <v>74</v>
      </c>
      <c r="D467" s="199"/>
      <c r="E467" s="199"/>
      <c r="F467" s="199"/>
      <c r="G467" s="199"/>
      <c r="H467" s="199"/>
      <c r="I467" s="199"/>
      <c r="J467" s="128"/>
    </row>
    <row r="468" spans="1:10" x14ac:dyDescent="0.25">
      <c r="C468" s="192"/>
      <c r="D468" s="193"/>
      <c r="E468" s="193"/>
      <c r="F468" s="129"/>
      <c r="G468" s="130">
        <v>1500</v>
      </c>
      <c r="H468" s="131">
        <f>G468/G489</f>
        <v>0.42857142857142855</v>
      </c>
      <c r="I468" s="130">
        <f>G468*7%</f>
        <v>105.00000000000001</v>
      </c>
      <c r="J468" s="86">
        <f>G468*5%</f>
        <v>75</v>
      </c>
    </row>
    <row r="469" spans="1:10" x14ac:dyDescent="0.25">
      <c r="C469" s="192"/>
      <c r="D469" s="193"/>
      <c r="E469" s="193"/>
      <c r="F469" s="129"/>
      <c r="G469" s="130"/>
      <c r="H469" s="131">
        <f>G469/G489</f>
        <v>0</v>
      </c>
      <c r="I469" s="130">
        <f t="shared" ref="I469:I472" si="86">G469*7%</f>
        <v>0</v>
      </c>
      <c r="J469" s="86">
        <f t="shared" ref="J469:J472" si="87">G469*5%</f>
        <v>0</v>
      </c>
    </row>
    <row r="470" spans="1:10" x14ac:dyDescent="0.25">
      <c r="C470" s="192"/>
      <c r="D470" s="193"/>
      <c r="E470" s="193"/>
      <c r="F470" s="130"/>
      <c r="G470" s="130"/>
      <c r="H470" s="131">
        <f>G470/G489</f>
        <v>0</v>
      </c>
      <c r="I470" s="130">
        <f t="shared" si="86"/>
        <v>0</v>
      </c>
      <c r="J470" s="86">
        <f t="shared" si="87"/>
        <v>0</v>
      </c>
    </row>
    <row r="471" spans="1:10" ht="14.4" thickBot="1" x14ac:dyDescent="0.3">
      <c r="C471" s="194"/>
      <c r="D471" s="195"/>
      <c r="E471" s="195"/>
      <c r="F471" s="132"/>
      <c r="G471" s="132"/>
      <c r="H471" s="133">
        <f>G471/G489</f>
        <v>0</v>
      </c>
      <c r="I471" s="132">
        <f t="shared" si="86"/>
        <v>0</v>
      </c>
      <c r="J471" s="113">
        <f t="shared" si="87"/>
        <v>0</v>
      </c>
    </row>
    <row r="472" spans="1:10" ht="14.4" thickBot="1" x14ac:dyDescent="0.3">
      <c r="C472" s="196" t="s">
        <v>82</v>
      </c>
      <c r="D472" s="197"/>
      <c r="E472" s="197"/>
      <c r="F472" s="134"/>
      <c r="G472" s="134">
        <f>SUM(G468:G471)</f>
        <v>1500</v>
      </c>
      <c r="H472" s="135">
        <f>G472/G489</f>
        <v>0.42857142857142855</v>
      </c>
      <c r="I472" s="134">
        <f t="shared" si="86"/>
        <v>105.00000000000001</v>
      </c>
      <c r="J472" s="123">
        <f t="shared" si="87"/>
        <v>75</v>
      </c>
    </row>
    <row r="473" spans="1:10" x14ac:dyDescent="0.25">
      <c r="C473" s="198" t="s">
        <v>75</v>
      </c>
      <c r="D473" s="199"/>
      <c r="E473" s="199"/>
      <c r="F473" s="199"/>
      <c r="G473" s="199"/>
      <c r="H473" s="199"/>
      <c r="I473" s="199"/>
      <c r="J473" s="128"/>
    </row>
    <row r="474" spans="1:10" x14ac:dyDescent="0.25">
      <c r="C474" s="192"/>
      <c r="D474" s="193"/>
      <c r="E474" s="193"/>
      <c r="F474" s="129"/>
      <c r="G474" s="130">
        <v>2000</v>
      </c>
      <c r="H474" s="131">
        <f>G474/G489</f>
        <v>0.5714285714285714</v>
      </c>
      <c r="I474" s="130">
        <f>G474*7%</f>
        <v>140</v>
      </c>
      <c r="J474" s="86">
        <f>G474*5%</f>
        <v>100</v>
      </c>
    </row>
    <row r="475" spans="1:10" x14ac:dyDescent="0.25">
      <c r="C475" s="192"/>
      <c r="D475" s="193"/>
      <c r="E475" s="193"/>
      <c r="F475" s="129"/>
      <c r="G475" s="130"/>
      <c r="H475" s="131">
        <f>G475/G489</f>
        <v>0</v>
      </c>
      <c r="I475" s="130">
        <f t="shared" ref="I475:I489" si="88">G475*7%</f>
        <v>0</v>
      </c>
      <c r="J475" s="86">
        <f t="shared" ref="J475:J489" si="89">G475*5%</f>
        <v>0</v>
      </c>
    </row>
    <row r="476" spans="1:10" x14ac:dyDescent="0.25">
      <c r="C476" s="192"/>
      <c r="D476" s="193"/>
      <c r="E476" s="193"/>
      <c r="F476" s="130"/>
      <c r="G476" s="130"/>
      <c r="H476" s="131">
        <f>G476/G489</f>
        <v>0</v>
      </c>
      <c r="I476" s="130">
        <f t="shared" si="88"/>
        <v>0</v>
      </c>
      <c r="J476" s="86">
        <f t="shared" si="89"/>
        <v>0</v>
      </c>
    </row>
    <row r="477" spans="1:10" x14ac:dyDescent="0.25">
      <c r="C477" s="192"/>
      <c r="D477" s="193"/>
      <c r="E477" s="193"/>
      <c r="F477" s="130"/>
      <c r="G477" s="130"/>
      <c r="H477" s="131">
        <f>G477/G489</f>
        <v>0</v>
      </c>
      <c r="I477" s="130">
        <f t="shared" si="88"/>
        <v>0</v>
      </c>
      <c r="J477" s="86">
        <f t="shared" si="89"/>
        <v>0</v>
      </c>
    </row>
    <row r="478" spans="1:10" x14ac:dyDescent="0.25">
      <c r="C478" s="192"/>
      <c r="D478" s="193"/>
      <c r="E478" s="193"/>
      <c r="F478" s="130"/>
      <c r="G478" s="130"/>
      <c r="H478" s="131">
        <f>G478/G489</f>
        <v>0</v>
      </c>
      <c r="I478" s="130">
        <f t="shared" si="88"/>
        <v>0</v>
      </c>
      <c r="J478" s="86">
        <f t="shared" si="89"/>
        <v>0</v>
      </c>
    </row>
    <row r="479" spans="1:10" x14ac:dyDescent="0.25">
      <c r="C479" s="192"/>
      <c r="D479" s="193"/>
      <c r="E479" s="193"/>
      <c r="F479" s="130"/>
      <c r="G479" s="130"/>
      <c r="H479" s="131">
        <f>G479/G489</f>
        <v>0</v>
      </c>
      <c r="I479" s="130">
        <f t="shared" si="88"/>
        <v>0</v>
      </c>
      <c r="J479" s="86">
        <f t="shared" si="89"/>
        <v>0</v>
      </c>
    </row>
    <row r="480" spans="1:10" x14ac:dyDescent="0.25">
      <c r="C480" s="192"/>
      <c r="D480" s="193"/>
      <c r="E480" s="193"/>
      <c r="F480" s="130"/>
      <c r="G480" s="130"/>
      <c r="H480" s="131">
        <f>G480/G489</f>
        <v>0</v>
      </c>
      <c r="I480" s="130">
        <f t="shared" si="88"/>
        <v>0</v>
      </c>
      <c r="J480" s="86">
        <f t="shared" si="89"/>
        <v>0</v>
      </c>
    </row>
    <row r="481" spans="1:10" x14ac:dyDescent="0.25">
      <c r="C481" s="192"/>
      <c r="D481" s="193"/>
      <c r="E481" s="193"/>
      <c r="F481" s="130"/>
      <c r="G481" s="130"/>
      <c r="H481" s="131">
        <f>G481/G489</f>
        <v>0</v>
      </c>
      <c r="I481" s="130">
        <f t="shared" si="88"/>
        <v>0</v>
      </c>
      <c r="J481" s="86">
        <f t="shared" si="89"/>
        <v>0</v>
      </c>
    </row>
    <row r="482" spans="1:10" x14ac:dyDescent="0.25">
      <c r="C482" s="192"/>
      <c r="D482" s="193"/>
      <c r="E482" s="193"/>
      <c r="F482" s="130"/>
      <c r="G482" s="130"/>
      <c r="H482" s="131">
        <f>G482/G489</f>
        <v>0</v>
      </c>
      <c r="I482" s="130">
        <f t="shared" si="88"/>
        <v>0</v>
      </c>
      <c r="J482" s="86">
        <f t="shared" si="89"/>
        <v>0</v>
      </c>
    </row>
    <row r="483" spans="1:10" x14ac:dyDescent="0.25">
      <c r="C483" s="192"/>
      <c r="D483" s="193"/>
      <c r="E483" s="193"/>
      <c r="F483" s="130"/>
      <c r="G483" s="130"/>
      <c r="H483" s="131">
        <f>G483/G489</f>
        <v>0</v>
      </c>
      <c r="I483" s="130">
        <f t="shared" si="88"/>
        <v>0</v>
      </c>
      <c r="J483" s="86">
        <f t="shared" si="89"/>
        <v>0</v>
      </c>
    </row>
    <row r="484" spans="1:10" x14ac:dyDescent="0.25">
      <c r="C484" s="192"/>
      <c r="D484" s="193"/>
      <c r="E484" s="193"/>
      <c r="F484" s="130"/>
      <c r="G484" s="130"/>
      <c r="H484" s="131">
        <f>G484/G489</f>
        <v>0</v>
      </c>
      <c r="I484" s="130">
        <f t="shared" si="88"/>
        <v>0</v>
      </c>
      <c r="J484" s="86">
        <f t="shared" si="89"/>
        <v>0</v>
      </c>
    </row>
    <row r="485" spans="1:10" x14ac:dyDescent="0.25">
      <c r="C485" s="192"/>
      <c r="D485" s="193"/>
      <c r="E485" s="193"/>
      <c r="F485" s="130"/>
      <c r="G485" s="130"/>
      <c r="H485" s="131">
        <f>G485/G489</f>
        <v>0</v>
      </c>
      <c r="I485" s="130">
        <f t="shared" si="88"/>
        <v>0</v>
      </c>
      <c r="J485" s="86">
        <f t="shared" si="89"/>
        <v>0</v>
      </c>
    </row>
    <row r="486" spans="1:10" x14ac:dyDescent="0.25">
      <c r="C486" s="192"/>
      <c r="D486" s="193"/>
      <c r="E486" s="193"/>
      <c r="F486" s="130"/>
      <c r="G486" s="130"/>
      <c r="H486" s="131">
        <f>G486/G489</f>
        <v>0</v>
      </c>
      <c r="I486" s="130">
        <f t="shared" si="88"/>
        <v>0</v>
      </c>
      <c r="J486" s="86">
        <f t="shared" si="89"/>
        <v>0</v>
      </c>
    </row>
    <row r="487" spans="1:10" ht="14.4" thickBot="1" x14ac:dyDescent="0.3">
      <c r="C487" s="194"/>
      <c r="D487" s="195"/>
      <c r="E487" s="195"/>
      <c r="F487" s="132"/>
      <c r="G487" s="132"/>
      <c r="H487" s="133">
        <f>G487/G489</f>
        <v>0</v>
      </c>
      <c r="I487" s="132">
        <f t="shared" si="88"/>
        <v>0</v>
      </c>
      <c r="J487" s="113">
        <f t="shared" si="89"/>
        <v>0</v>
      </c>
    </row>
    <row r="488" spans="1:10" ht="14.4" thickBot="1" x14ac:dyDescent="0.3">
      <c r="C488" s="196" t="s">
        <v>81</v>
      </c>
      <c r="D488" s="197"/>
      <c r="E488" s="197"/>
      <c r="F488" s="134"/>
      <c r="G488" s="134">
        <f>SUM(G474:G487)</f>
        <v>2000</v>
      </c>
      <c r="H488" s="135">
        <f>G488/G489</f>
        <v>0.5714285714285714</v>
      </c>
      <c r="I488" s="134">
        <f t="shared" si="88"/>
        <v>140</v>
      </c>
      <c r="J488" s="123">
        <f t="shared" si="89"/>
        <v>100</v>
      </c>
    </row>
    <row r="489" spans="1:10" ht="14.4" thickBot="1" x14ac:dyDescent="0.3">
      <c r="C489" s="196" t="s">
        <v>7</v>
      </c>
      <c r="D489" s="197"/>
      <c r="E489" s="197"/>
      <c r="F489" s="134"/>
      <c r="G489" s="134">
        <f>G472+G488</f>
        <v>3500</v>
      </c>
      <c r="H489" s="135">
        <f>G489/G489</f>
        <v>1</v>
      </c>
      <c r="I489" s="134">
        <f t="shared" si="88"/>
        <v>245.00000000000003</v>
      </c>
      <c r="J489" s="123">
        <f t="shared" si="89"/>
        <v>175</v>
      </c>
    </row>
    <row r="490" spans="1:10" ht="18" thickBot="1" x14ac:dyDescent="0.35">
      <c r="C490" s="182" t="str">
        <f>G73</f>
        <v>Fence</v>
      </c>
      <c r="E490" s="5"/>
      <c r="F490" s="5"/>
    </row>
    <row r="491" spans="1:10" ht="15" thickBot="1" x14ac:dyDescent="0.35">
      <c r="A491" s="185" t="s">
        <v>72</v>
      </c>
      <c r="C491" s="196" t="s">
        <v>0</v>
      </c>
      <c r="D491" s="197"/>
      <c r="E491" s="197"/>
      <c r="F491" s="125" t="s">
        <v>1</v>
      </c>
      <c r="G491" s="126" t="s">
        <v>73</v>
      </c>
      <c r="H491" s="126" t="s">
        <v>83</v>
      </c>
      <c r="I491" s="125" t="s">
        <v>3</v>
      </c>
      <c r="J491" s="127" t="s">
        <v>4</v>
      </c>
    </row>
    <row r="492" spans="1:10" x14ac:dyDescent="0.25">
      <c r="C492" s="198" t="s">
        <v>74</v>
      </c>
      <c r="D492" s="199"/>
      <c r="E492" s="199"/>
      <c r="F492" s="199"/>
      <c r="G492" s="199"/>
      <c r="H492" s="199"/>
      <c r="I492" s="199"/>
      <c r="J492" s="128"/>
    </row>
    <row r="493" spans="1:10" x14ac:dyDescent="0.25">
      <c r="C493" s="192"/>
      <c r="D493" s="193"/>
      <c r="E493" s="193"/>
      <c r="F493" s="129"/>
      <c r="G493" s="130">
        <v>1800</v>
      </c>
      <c r="H493" s="131">
        <f>G493/G514</f>
        <v>0.43478260869565216</v>
      </c>
      <c r="I493" s="130">
        <f>G493*7%</f>
        <v>126.00000000000001</v>
      </c>
      <c r="J493" s="86">
        <f>G493*5%</f>
        <v>90</v>
      </c>
    </row>
    <row r="494" spans="1:10" x14ac:dyDescent="0.25">
      <c r="C494" s="192"/>
      <c r="D494" s="193"/>
      <c r="E494" s="193"/>
      <c r="F494" s="129"/>
      <c r="G494" s="130">
        <v>90</v>
      </c>
      <c r="H494" s="131">
        <f>G494/G514</f>
        <v>2.1739130434782608E-2</v>
      </c>
      <c r="I494" s="130">
        <f t="shared" ref="I494:I497" si="90">G494*7%</f>
        <v>6.3000000000000007</v>
      </c>
      <c r="J494" s="86">
        <f t="shared" ref="J494:J497" si="91">G494*5%</f>
        <v>4.5</v>
      </c>
    </row>
    <row r="495" spans="1:10" x14ac:dyDescent="0.25">
      <c r="C495" s="192"/>
      <c r="D495" s="193"/>
      <c r="E495" s="193"/>
      <c r="F495" s="130"/>
      <c r="G495" s="130"/>
      <c r="H495" s="131">
        <f>G495/G514</f>
        <v>0</v>
      </c>
      <c r="I495" s="130">
        <f t="shared" si="90"/>
        <v>0</v>
      </c>
      <c r="J495" s="86">
        <f t="shared" si="91"/>
        <v>0</v>
      </c>
    </row>
    <row r="496" spans="1:10" ht="14.4" thickBot="1" x14ac:dyDescent="0.3">
      <c r="C496" s="194"/>
      <c r="D496" s="195"/>
      <c r="E496" s="195"/>
      <c r="F496" s="132"/>
      <c r="G496" s="132"/>
      <c r="H496" s="133">
        <f>G496/G514</f>
        <v>0</v>
      </c>
      <c r="I496" s="132">
        <f t="shared" si="90"/>
        <v>0</v>
      </c>
      <c r="J496" s="113">
        <f t="shared" si="91"/>
        <v>0</v>
      </c>
    </row>
    <row r="497" spans="3:10" ht="14.4" thickBot="1" x14ac:dyDescent="0.3">
      <c r="C497" s="196" t="s">
        <v>82</v>
      </c>
      <c r="D497" s="197"/>
      <c r="E497" s="197"/>
      <c r="F497" s="134"/>
      <c r="G497" s="134">
        <f>SUM(G493:G496)</f>
        <v>1890</v>
      </c>
      <c r="H497" s="135">
        <f>G497/G514</f>
        <v>0.45652173913043476</v>
      </c>
      <c r="I497" s="134">
        <f t="shared" si="90"/>
        <v>132.30000000000001</v>
      </c>
      <c r="J497" s="123">
        <f t="shared" si="91"/>
        <v>94.5</v>
      </c>
    </row>
    <row r="498" spans="3:10" x14ac:dyDescent="0.25">
      <c r="C498" s="198" t="s">
        <v>75</v>
      </c>
      <c r="D498" s="199"/>
      <c r="E498" s="199"/>
      <c r="F498" s="199"/>
      <c r="G498" s="199"/>
      <c r="H498" s="199"/>
      <c r="I498" s="199"/>
      <c r="J498" s="128"/>
    </row>
    <row r="499" spans="3:10" x14ac:dyDescent="0.25">
      <c r="C499" s="192"/>
      <c r="D499" s="193"/>
      <c r="E499" s="193"/>
      <c r="F499" s="129"/>
      <c r="G499" s="130">
        <v>1800</v>
      </c>
      <c r="H499" s="131">
        <f>G499/G514</f>
        <v>0.43478260869565216</v>
      </c>
      <c r="I499" s="130">
        <f>G499*7%</f>
        <v>126.00000000000001</v>
      </c>
      <c r="J499" s="86">
        <f>G499*5%</f>
        <v>90</v>
      </c>
    </row>
    <row r="500" spans="3:10" x14ac:dyDescent="0.25">
      <c r="C500" s="192"/>
      <c r="D500" s="193"/>
      <c r="E500" s="193"/>
      <c r="F500" s="129"/>
      <c r="G500" s="130">
        <v>450</v>
      </c>
      <c r="H500" s="131">
        <f>G500/G514</f>
        <v>0.10869565217391304</v>
      </c>
      <c r="I500" s="130">
        <f t="shared" ref="I500:I514" si="92">G500*7%</f>
        <v>31.500000000000004</v>
      </c>
      <c r="J500" s="86">
        <f t="shared" ref="J500:J514" si="93">G500*5%</f>
        <v>22.5</v>
      </c>
    </row>
    <row r="501" spans="3:10" x14ac:dyDescent="0.25">
      <c r="C501" s="192"/>
      <c r="D501" s="193"/>
      <c r="E501" s="193"/>
      <c r="F501" s="130"/>
      <c r="G501" s="130"/>
      <c r="H501" s="131">
        <f>G501/G514</f>
        <v>0</v>
      </c>
      <c r="I501" s="130">
        <f t="shared" si="92"/>
        <v>0</v>
      </c>
      <c r="J501" s="86">
        <f t="shared" si="93"/>
        <v>0</v>
      </c>
    </row>
    <row r="502" spans="3:10" x14ac:dyDescent="0.25">
      <c r="C502" s="192"/>
      <c r="D502" s="193"/>
      <c r="E502" s="193"/>
      <c r="F502" s="130"/>
      <c r="G502" s="130"/>
      <c r="H502" s="131">
        <f>G502/G514</f>
        <v>0</v>
      </c>
      <c r="I502" s="130">
        <f t="shared" si="92"/>
        <v>0</v>
      </c>
      <c r="J502" s="86">
        <f t="shared" si="93"/>
        <v>0</v>
      </c>
    </row>
    <row r="503" spans="3:10" x14ac:dyDescent="0.25">
      <c r="C503" s="192"/>
      <c r="D503" s="193"/>
      <c r="E503" s="193"/>
      <c r="F503" s="130"/>
      <c r="G503" s="130"/>
      <c r="H503" s="131">
        <f>G503/G514</f>
        <v>0</v>
      </c>
      <c r="I503" s="130">
        <f t="shared" si="92"/>
        <v>0</v>
      </c>
      <c r="J503" s="86">
        <f t="shared" si="93"/>
        <v>0</v>
      </c>
    </row>
    <row r="504" spans="3:10" x14ac:dyDescent="0.25">
      <c r="C504" s="192"/>
      <c r="D504" s="193"/>
      <c r="E504" s="193"/>
      <c r="F504" s="130"/>
      <c r="G504" s="130"/>
      <c r="H504" s="131">
        <f>G504/G514</f>
        <v>0</v>
      </c>
      <c r="I504" s="130">
        <f t="shared" si="92"/>
        <v>0</v>
      </c>
      <c r="J504" s="86">
        <f t="shared" si="93"/>
        <v>0</v>
      </c>
    </row>
    <row r="505" spans="3:10" x14ac:dyDescent="0.25">
      <c r="C505" s="192"/>
      <c r="D505" s="193"/>
      <c r="E505" s="193"/>
      <c r="F505" s="130"/>
      <c r="G505" s="130"/>
      <c r="H505" s="131">
        <f>G505/G514</f>
        <v>0</v>
      </c>
      <c r="I505" s="130">
        <f t="shared" si="92"/>
        <v>0</v>
      </c>
      <c r="J505" s="86">
        <f t="shared" si="93"/>
        <v>0</v>
      </c>
    </row>
    <row r="506" spans="3:10" x14ac:dyDescent="0.25">
      <c r="C506" s="192"/>
      <c r="D506" s="193"/>
      <c r="E506" s="193"/>
      <c r="F506" s="130"/>
      <c r="G506" s="130"/>
      <c r="H506" s="131">
        <f>G506/G514</f>
        <v>0</v>
      </c>
      <c r="I506" s="130">
        <f t="shared" si="92"/>
        <v>0</v>
      </c>
      <c r="J506" s="86">
        <f t="shared" si="93"/>
        <v>0</v>
      </c>
    </row>
    <row r="507" spans="3:10" x14ac:dyDescent="0.25">
      <c r="C507" s="192"/>
      <c r="D507" s="193"/>
      <c r="E507" s="193"/>
      <c r="F507" s="130"/>
      <c r="G507" s="130"/>
      <c r="H507" s="131">
        <f>G507/G514</f>
        <v>0</v>
      </c>
      <c r="I507" s="130">
        <f t="shared" si="92"/>
        <v>0</v>
      </c>
      <c r="J507" s="86">
        <f t="shared" si="93"/>
        <v>0</v>
      </c>
    </row>
    <row r="508" spans="3:10" x14ac:dyDescent="0.25">
      <c r="C508" s="192"/>
      <c r="D508" s="193"/>
      <c r="E508" s="193"/>
      <c r="F508" s="130"/>
      <c r="G508" s="130"/>
      <c r="H508" s="131">
        <f>G508/G514</f>
        <v>0</v>
      </c>
      <c r="I508" s="130">
        <f t="shared" si="92"/>
        <v>0</v>
      </c>
      <c r="J508" s="86">
        <f t="shared" si="93"/>
        <v>0</v>
      </c>
    </row>
    <row r="509" spans="3:10" x14ac:dyDescent="0.25">
      <c r="C509" s="192"/>
      <c r="D509" s="193"/>
      <c r="E509" s="193"/>
      <c r="F509" s="130"/>
      <c r="G509" s="130"/>
      <c r="H509" s="131">
        <f>G509/G514</f>
        <v>0</v>
      </c>
      <c r="I509" s="130">
        <f t="shared" si="92"/>
        <v>0</v>
      </c>
      <c r="J509" s="86">
        <f t="shared" si="93"/>
        <v>0</v>
      </c>
    </row>
    <row r="510" spans="3:10" x14ac:dyDescent="0.25">
      <c r="C510" s="192"/>
      <c r="D510" s="193"/>
      <c r="E510" s="193"/>
      <c r="F510" s="130"/>
      <c r="G510" s="130"/>
      <c r="H510" s="131">
        <f>G510/G514</f>
        <v>0</v>
      </c>
      <c r="I510" s="130">
        <f t="shared" si="92"/>
        <v>0</v>
      </c>
      <c r="J510" s="86">
        <f t="shared" si="93"/>
        <v>0</v>
      </c>
    </row>
    <row r="511" spans="3:10" x14ac:dyDescent="0.25">
      <c r="C511" s="192"/>
      <c r="D511" s="193"/>
      <c r="E511" s="193"/>
      <c r="F511" s="130"/>
      <c r="G511" s="130"/>
      <c r="H511" s="131">
        <f>G511/G514</f>
        <v>0</v>
      </c>
      <c r="I511" s="130">
        <f t="shared" si="92"/>
        <v>0</v>
      </c>
      <c r="J511" s="86">
        <f t="shared" si="93"/>
        <v>0</v>
      </c>
    </row>
    <row r="512" spans="3:10" ht="14.4" thickBot="1" x14ac:dyDescent="0.3">
      <c r="C512" s="194"/>
      <c r="D512" s="195"/>
      <c r="E512" s="195"/>
      <c r="F512" s="132"/>
      <c r="G512" s="132"/>
      <c r="H512" s="133">
        <f>G512/G514</f>
        <v>0</v>
      </c>
      <c r="I512" s="132">
        <f t="shared" si="92"/>
        <v>0</v>
      </c>
      <c r="J512" s="113">
        <f t="shared" si="93"/>
        <v>0</v>
      </c>
    </row>
    <row r="513" spans="1:10" ht="14.4" thickBot="1" x14ac:dyDescent="0.3">
      <c r="C513" s="196" t="s">
        <v>81</v>
      </c>
      <c r="D513" s="197"/>
      <c r="E513" s="197"/>
      <c r="F513" s="134"/>
      <c r="G513" s="134">
        <f>SUM(G499:G512)</f>
        <v>2250</v>
      </c>
      <c r="H513" s="135">
        <f>G513/G514</f>
        <v>0.54347826086956519</v>
      </c>
      <c r="I513" s="134">
        <f t="shared" si="92"/>
        <v>157.50000000000003</v>
      </c>
      <c r="J513" s="123">
        <f t="shared" si="93"/>
        <v>112.5</v>
      </c>
    </row>
    <row r="514" spans="1:10" ht="14.4" thickBot="1" x14ac:dyDescent="0.3">
      <c r="C514" s="196" t="s">
        <v>7</v>
      </c>
      <c r="D514" s="197"/>
      <c r="E514" s="197"/>
      <c r="F514" s="134"/>
      <c r="G514" s="134">
        <f>G497+G513</f>
        <v>4140</v>
      </c>
      <c r="H514" s="135">
        <f>G514/G514</f>
        <v>1</v>
      </c>
      <c r="I514" s="134">
        <f t="shared" si="92"/>
        <v>289.8</v>
      </c>
      <c r="J514" s="123">
        <f t="shared" si="93"/>
        <v>207</v>
      </c>
    </row>
    <row r="515" spans="1:10" ht="18" thickBot="1" x14ac:dyDescent="0.35">
      <c r="C515" s="182" t="str">
        <f>G74</f>
        <v>Driveway</v>
      </c>
      <c r="E515" s="5"/>
      <c r="F515" s="5"/>
    </row>
    <row r="516" spans="1:10" ht="15" thickBot="1" x14ac:dyDescent="0.35">
      <c r="A516" s="185" t="s">
        <v>72</v>
      </c>
      <c r="C516" s="196" t="s">
        <v>0</v>
      </c>
      <c r="D516" s="197"/>
      <c r="E516" s="197"/>
      <c r="F516" s="125" t="s">
        <v>1</v>
      </c>
      <c r="G516" s="126" t="s">
        <v>73</v>
      </c>
      <c r="H516" s="126" t="s">
        <v>83</v>
      </c>
      <c r="I516" s="125" t="s">
        <v>3</v>
      </c>
      <c r="J516" s="127" t="s">
        <v>4</v>
      </c>
    </row>
    <row r="517" spans="1:10" x14ac:dyDescent="0.25">
      <c r="C517" s="198" t="s">
        <v>74</v>
      </c>
      <c r="D517" s="199"/>
      <c r="E517" s="199"/>
      <c r="F517" s="199"/>
      <c r="G517" s="199"/>
      <c r="H517" s="199"/>
      <c r="I517" s="199"/>
      <c r="J517" s="128"/>
    </row>
    <row r="518" spans="1:10" x14ac:dyDescent="0.25">
      <c r="C518" s="192"/>
      <c r="D518" s="193"/>
      <c r="E518" s="193"/>
      <c r="F518" s="129"/>
      <c r="G518" s="130"/>
      <c r="H518" s="131" t="e">
        <f>G518/G539</f>
        <v>#DIV/0!</v>
      </c>
      <c r="I518" s="130">
        <f>G518*7%</f>
        <v>0</v>
      </c>
      <c r="J518" s="86">
        <f>G518*5%</f>
        <v>0</v>
      </c>
    </row>
    <row r="519" spans="1:10" x14ac:dyDescent="0.25">
      <c r="C519" s="192"/>
      <c r="D519" s="193"/>
      <c r="E519" s="193"/>
      <c r="F519" s="129"/>
      <c r="G519" s="130"/>
      <c r="H519" s="131" t="e">
        <f>G519/G539</f>
        <v>#DIV/0!</v>
      </c>
      <c r="I519" s="130">
        <f t="shared" ref="I519:I522" si="94">G519*7%</f>
        <v>0</v>
      </c>
      <c r="J519" s="86">
        <f t="shared" ref="J519:J522" si="95">G519*5%</f>
        <v>0</v>
      </c>
    </row>
    <row r="520" spans="1:10" x14ac:dyDescent="0.25">
      <c r="C520" s="192"/>
      <c r="D520" s="193"/>
      <c r="E520" s="193"/>
      <c r="F520" s="130"/>
      <c r="G520" s="130"/>
      <c r="H520" s="131" t="e">
        <f>G520/G539</f>
        <v>#DIV/0!</v>
      </c>
      <c r="I520" s="130">
        <f t="shared" si="94"/>
        <v>0</v>
      </c>
      <c r="J520" s="86">
        <f t="shared" si="95"/>
        <v>0</v>
      </c>
    </row>
    <row r="521" spans="1:10" ht="14.4" thickBot="1" x14ac:dyDescent="0.3">
      <c r="C521" s="194"/>
      <c r="D521" s="195"/>
      <c r="E521" s="195"/>
      <c r="F521" s="132"/>
      <c r="G521" s="132"/>
      <c r="H521" s="133" t="e">
        <f>G521/G539</f>
        <v>#DIV/0!</v>
      </c>
      <c r="I521" s="132">
        <f t="shared" si="94"/>
        <v>0</v>
      </c>
      <c r="J521" s="113">
        <f t="shared" si="95"/>
        <v>0</v>
      </c>
    </row>
    <row r="522" spans="1:10" ht="14.4" thickBot="1" x14ac:dyDescent="0.3">
      <c r="C522" s="196" t="s">
        <v>82</v>
      </c>
      <c r="D522" s="197"/>
      <c r="E522" s="197"/>
      <c r="F522" s="134"/>
      <c r="G522" s="134">
        <f>SUM(G518:G521)</f>
        <v>0</v>
      </c>
      <c r="H522" s="135" t="e">
        <f>G522/G539</f>
        <v>#DIV/0!</v>
      </c>
      <c r="I522" s="134">
        <f t="shared" si="94"/>
        <v>0</v>
      </c>
      <c r="J522" s="123">
        <f t="shared" si="95"/>
        <v>0</v>
      </c>
    </row>
    <row r="523" spans="1:10" x14ac:dyDescent="0.25">
      <c r="C523" s="198" t="s">
        <v>75</v>
      </c>
      <c r="D523" s="199"/>
      <c r="E523" s="199"/>
      <c r="F523" s="199"/>
      <c r="G523" s="199"/>
      <c r="H523" s="199"/>
      <c r="I523" s="199"/>
      <c r="J523" s="128"/>
    </row>
    <row r="524" spans="1:10" x14ac:dyDescent="0.25">
      <c r="C524" s="192"/>
      <c r="D524" s="193"/>
      <c r="E524" s="193"/>
      <c r="F524" s="129"/>
      <c r="G524" s="130"/>
      <c r="H524" s="131" t="e">
        <f>G524/G539</f>
        <v>#DIV/0!</v>
      </c>
      <c r="I524" s="130">
        <f>G524*7%</f>
        <v>0</v>
      </c>
      <c r="J524" s="86">
        <f>G524*5%</f>
        <v>0</v>
      </c>
    </row>
    <row r="525" spans="1:10" x14ac:dyDescent="0.25">
      <c r="C525" s="192"/>
      <c r="D525" s="193"/>
      <c r="E525" s="193"/>
      <c r="F525" s="129"/>
      <c r="G525" s="130"/>
      <c r="H525" s="131" t="e">
        <f>G525/G539</f>
        <v>#DIV/0!</v>
      </c>
      <c r="I525" s="130">
        <f t="shared" ref="I525:I539" si="96">G525*7%</f>
        <v>0</v>
      </c>
      <c r="J525" s="86">
        <f t="shared" ref="J525:J539" si="97">G525*5%</f>
        <v>0</v>
      </c>
    </row>
    <row r="526" spans="1:10" x14ac:dyDescent="0.25">
      <c r="C526" s="192"/>
      <c r="D526" s="193"/>
      <c r="E526" s="193"/>
      <c r="F526" s="130"/>
      <c r="G526" s="130"/>
      <c r="H526" s="131" t="e">
        <f>G526/G539</f>
        <v>#DIV/0!</v>
      </c>
      <c r="I526" s="130">
        <f t="shared" si="96"/>
        <v>0</v>
      </c>
      <c r="J526" s="86">
        <f t="shared" si="97"/>
        <v>0</v>
      </c>
    </row>
    <row r="527" spans="1:10" x14ac:dyDescent="0.25">
      <c r="C527" s="192"/>
      <c r="D527" s="193"/>
      <c r="E527" s="193"/>
      <c r="F527" s="130"/>
      <c r="G527" s="130"/>
      <c r="H527" s="131" t="e">
        <f>G527/G539</f>
        <v>#DIV/0!</v>
      </c>
      <c r="I527" s="130">
        <f t="shared" si="96"/>
        <v>0</v>
      </c>
      <c r="J527" s="86">
        <f t="shared" si="97"/>
        <v>0</v>
      </c>
    </row>
    <row r="528" spans="1:10" x14ac:dyDescent="0.25">
      <c r="C528" s="192"/>
      <c r="D528" s="193"/>
      <c r="E528" s="193"/>
      <c r="F528" s="130"/>
      <c r="G528" s="130"/>
      <c r="H528" s="131" t="e">
        <f>G528/G539</f>
        <v>#DIV/0!</v>
      </c>
      <c r="I528" s="130">
        <f t="shared" si="96"/>
        <v>0</v>
      </c>
      <c r="J528" s="86">
        <f t="shared" si="97"/>
        <v>0</v>
      </c>
    </row>
    <row r="529" spans="1:10" x14ac:dyDescent="0.25">
      <c r="C529" s="192"/>
      <c r="D529" s="193"/>
      <c r="E529" s="193"/>
      <c r="F529" s="130"/>
      <c r="G529" s="130"/>
      <c r="H529" s="131" t="e">
        <f>G529/G539</f>
        <v>#DIV/0!</v>
      </c>
      <c r="I529" s="130">
        <f t="shared" si="96"/>
        <v>0</v>
      </c>
      <c r="J529" s="86">
        <f t="shared" si="97"/>
        <v>0</v>
      </c>
    </row>
    <row r="530" spans="1:10" x14ac:dyDescent="0.25">
      <c r="C530" s="192"/>
      <c r="D530" s="193"/>
      <c r="E530" s="193"/>
      <c r="F530" s="130"/>
      <c r="G530" s="130"/>
      <c r="H530" s="131" t="e">
        <f>G530/G539</f>
        <v>#DIV/0!</v>
      </c>
      <c r="I530" s="130">
        <f t="shared" si="96"/>
        <v>0</v>
      </c>
      <c r="J530" s="86">
        <f t="shared" si="97"/>
        <v>0</v>
      </c>
    </row>
    <row r="531" spans="1:10" x14ac:dyDescent="0.25">
      <c r="C531" s="192"/>
      <c r="D531" s="193"/>
      <c r="E531" s="193"/>
      <c r="F531" s="130"/>
      <c r="G531" s="130"/>
      <c r="H531" s="131" t="e">
        <f>G531/G539</f>
        <v>#DIV/0!</v>
      </c>
      <c r="I531" s="130">
        <f t="shared" si="96"/>
        <v>0</v>
      </c>
      <c r="J531" s="86">
        <f t="shared" si="97"/>
        <v>0</v>
      </c>
    </row>
    <row r="532" spans="1:10" x14ac:dyDescent="0.25">
      <c r="C532" s="192"/>
      <c r="D532" s="193"/>
      <c r="E532" s="193"/>
      <c r="F532" s="130"/>
      <c r="G532" s="130"/>
      <c r="H532" s="131" t="e">
        <f>G532/G539</f>
        <v>#DIV/0!</v>
      </c>
      <c r="I532" s="130">
        <f t="shared" si="96"/>
        <v>0</v>
      </c>
      <c r="J532" s="86">
        <f t="shared" si="97"/>
        <v>0</v>
      </c>
    </row>
    <row r="533" spans="1:10" x14ac:dyDescent="0.25">
      <c r="C533" s="192"/>
      <c r="D533" s="193"/>
      <c r="E533" s="193"/>
      <c r="F533" s="130"/>
      <c r="G533" s="130"/>
      <c r="H533" s="131" t="e">
        <f>G533/G539</f>
        <v>#DIV/0!</v>
      </c>
      <c r="I533" s="130">
        <f t="shared" si="96"/>
        <v>0</v>
      </c>
      <c r="J533" s="86">
        <f t="shared" si="97"/>
        <v>0</v>
      </c>
    </row>
    <row r="534" spans="1:10" x14ac:dyDescent="0.25">
      <c r="C534" s="192"/>
      <c r="D534" s="193"/>
      <c r="E534" s="193"/>
      <c r="F534" s="130"/>
      <c r="G534" s="130"/>
      <c r="H534" s="131" t="e">
        <f>G534/G539</f>
        <v>#DIV/0!</v>
      </c>
      <c r="I534" s="130">
        <f t="shared" si="96"/>
        <v>0</v>
      </c>
      <c r="J534" s="86">
        <f t="shared" si="97"/>
        <v>0</v>
      </c>
    </row>
    <row r="535" spans="1:10" x14ac:dyDescent="0.25">
      <c r="C535" s="192"/>
      <c r="D535" s="193"/>
      <c r="E535" s="193"/>
      <c r="F535" s="130"/>
      <c r="G535" s="130"/>
      <c r="H535" s="131" t="e">
        <f>G535/G539</f>
        <v>#DIV/0!</v>
      </c>
      <c r="I535" s="130">
        <f t="shared" si="96"/>
        <v>0</v>
      </c>
      <c r="J535" s="86">
        <f t="shared" si="97"/>
        <v>0</v>
      </c>
    </row>
    <row r="536" spans="1:10" x14ac:dyDescent="0.25">
      <c r="C536" s="192"/>
      <c r="D536" s="193"/>
      <c r="E536" s="193"/>
      <c r="F536" s="130"/>
      <c r="G536" s="130"/>
      <c r="H536" s="131" t="e">
        <f>G536/G539</f>
        <v>#DIV/0!</v>
      </c>
      <c r="I536" s="130">
        <f t="shared" si="96"/>
        <v>0</v>
      </c>
      <c r="J536" s="86">
        <f t="shared" si="97"/>
        <v>0</v>
      </c>
    </row>
    <row r="537" spans="1:10" ht="14.4" thickBot="1" x14ac:dyDescent="0.3">
      <c r="C537" s="194"/>
      <c r="D537" s="195"/>
      <c r="E537" s="195"/>
      <c r="F537" s="132"/>
      <c r="G537" s="132"/>
      <c r="H537" s="133" t="e">
        <f>G537/G539</f>
        <v>#DIV/0!</v>
      </c>
      <c r="I537" s="132">
        <f t="shared" si="96"/>
        <v>0</v>
      </c>
      <c r="J537" s="113">
        <f t="shared" si="97"/>
        <v>0</v>
      </c>
    </row>
    <row r="538" spans="1:10" ht="14.4" thickBot="1" x14ac:dyDescent="0.3">
      <c r="C538" s="196" t="s">
        <v>81</v>
      </c>
      <c r="D538" s="197"/>
      <c r="E538" s="197"/>
      <c r="F538" s="134"/>
      <c r="G538" s="134">
        <f>SUM(G524:G537)</f>
        <v>0</v>
      </c>
      <c r="H538" s="135" t="e">
        <f>G538/G539</f>
        <v>#DIV/0!</v>
      </c>
      <c r="I538" s="134">
        <f t="shared" si="96"/>
        <v>0</v>
      </c>
      <c r="J538" s="123">
        <f t="shared" si="97"/>
        <v>0</v>
      </c>
    </row>
    <row r="539" spans="1:10" ht="14.4" thickBot="1" x14ac:dyDescent="0.3">
      <c r="C539" s="196" t="s">
        <v>7</v>
      </c>
      <c r="D539" s="197"/>
      <c r="E539" s="197"/>
      <c r="F539" s="134"/>
      <c r="G539" s="134">
        <f>G522+G538</f>
        <v>0</v>
      </c>
      <c r="H539" s="135" t="e">
        <f>G539/G539</f>
        <v>#DIV/0!</v>
      </c>
      <c r="I539" s="134">
        <f t="shared" si="96"/>
        <v>0</v>
      </c>
      <c r="J539" s="123">
        <f t="shared" si="97"/>
        <v>0</v>
      </c>
    </row>
    <row r="540" spans="1:10" ht="18" thickBot="1" x14ac:dyDescent="0.35">
      <c r="C540" s="182" t="str">
        <f>G75</f>
        <v>Roofing</v>
      </c>
      <c r="E540" s="5"/>
      <c r="F540" s="5"/>
    </row>
    <row r="541" spans="1:10" ht="15" thickBot="1" x14ac:dyDescent="0.35">
      <c r="A541" s="185" t="s">
        <v>72</v>
      </c>
      <c r="C541" s="196" t="s">
        <v>0</v>
      </c>
      <c r="D541" s="197"/>
      <c r="E541" s="197"/>
      <c r="F541" s="125" t="s">
        <v>1</v>
      </c>
      <c r="G541" s="126" t="s">
        <v>73</v>
      </c>
      <c r="H541" s="126" t="s">
        <v>83</v>
      </c>
      <c r="I541" s="125" t="s">
        <v>3</v>
      </c>
      <c r="J541" s="127" t="s">
        <v>4</v>
      </c>
    </row>
    <row r="542" spans="1:10" x14ac:dyDescent="0.25">
      <c r="C542" s="198" t="s">
        <v>74</v>
      </c>
      <c r="D542" s="199"/>
      <c r="E542" s="199"/>
      <c r="F542" s="199"/>
      <c r="G542" s="199"/>
      <c r="H542" s="199"/>
      <c r="I542" s="199"/>
      <c r="J542" s="128"/>
    </row>
    <row r="543" spans="1:10" x14ac:dyDescent="0.25">
      <c r="C543" s="192"/>
      <c r="D543" s="193"/>
      <c r="E543" s="193"/>
      <c r="F543" s="129"/>
      <c r="G543" s="130">
        <v>1000</v>
      </c>
      <c r="H543" s="131">
        <f>G543/G564</f>
        <v>0.48661800486618007</v>
      </c>
      <c r="I543" s="130">
        <f>G543*7%</f>
        <v>70</v>
      </c>
      <c r="J543" s="86">
        <f>G543*5%</f>
        <v>50</v>
      </c>
    </row>
    <row r="544" spans="1:10" x14ac:dyDescent="0.25">
      <c r="C544" s="192"/>
      <c r="D544" s="193"/>
      <c r="E544" s="193"/>
      <c r="F544" s="129"/>
      <c r="G544" s="130"/>
      <c r="H544" s="131">
        <f>G544/G564</f>
        <v>0</v>
      </c>
      <c r="I544" s="130">
        <f t="shared" ref="I544:I547" si="98">G544*7%</f>
        <v>0</v>
      </c>
      <c r="J544" s="86">
        <f t="shared" ref="J544:J547" si="99">G544*5%</f>
        <v>0</v>
      </c>
    </row>
    <row r="545" spans="3:10" x14ac:dyDescent="0.25">
      <c r="C545" s="192"/>
      <c r="D545" s="193"/>
      <c r="E545" s="193"/>
      <c r="F545" s="130"/>
      <c r="G545" s="130"/>
      <c r="H545" s="131">
        <f>G545/G564</f>
        <v>0</v>
      </c>
      <c r="I545" s="130">
        <f t="shared" si="98"/>
        <v>0</v>
      </c>
      <c r="J545" s="86">
        <f t="shared" si="99"/>
        <v>0</v>
      </c>
    </row>
    <row r="546" spans="3:10" ht="14.4" thickBot="1" x14ac:dyDescent="0.3">
      <c r="C546" s="194"/>
      <c r="D546" s="195"/>
      <c r="E546" s="195"/>
      <c r="F546" s="132"/>
      <c r="G546" s="132"/>
      <c r="H546" s="133">
        <f>G546/G564</f>
        <v>0</v>
      </c>
      <c r="I546" s="132">
        <f t="shared" si="98"/>
        <v>0</v>
      </c>
      <c r="J546" s="113">
        <f t="shared" si="99"/>
        <v>0</v>
      </c>
    </row>
    <row r="547" spans="3:10" ht="14.4" thickBot="1" x14ac:dyDescent="0.3">
      <c r="C547" s="196" t="s">
        <v>82</v>
      </c>
      <c r="D547" s="197"/>
      <c r="E547" s="197"/>
      <c r="F547" s="134"/>
      <c r="G547" s="134">
        <f>SUM(G543:G546)</f>
        <v>1000</v>
      </c>
      <c r="H547" s="135">
        <f>G547/G564</f>
        <v>0.48661800486618007</v>
      </c>
      <c r="I547" s="134">
        <f t="shared" si="98"/>
        <v>70</v>
      </c>
      <c r="J547" s="123">
        <f t="shared" si="99"/>
        <v>50</v>
      </c>
    </row>
    <row r="548" spans="3:10" x14ac:dyDescent="0.25">
      <c r="C548" s="198" t="s">
        <v>75</v>
      </c>
      <c r="D548" s="199"/>
      <c r="E548" s="199"/>
      <c r="F548" s="199"/>
      <c r="G548" s="199"/>
      <c r="H548" s="199"/>
      <c r="I548" s="199"/>
      <c r="J548" s="128"/>
    </row>
    <row r="549" spans="3:10" x14ac:dyDescent="0.25">
      <c r="C549" s="192"/>
      <c r="D549" s="193"/>
      <c r="E549" s="193"/>
      <c r="F549" s="129"/>
      <c r="G549" s="130">
        <v>1000</v>
      </c>
      <c r="H549" s="131">
        <f>G549/G564</f>
        <v>0.48661800486618007</v>
      </c>
      <c r="I549" s="130">
        <f>G549*7%</f>
        <v>70</v>
      </c>
      <c r="J549" s="86">
        <f>G549*5%</f>
        <v>50</v>
      </c>
    </row>
    <row r="550" spans="3:10" x14ac:dyDescent="0.25">
      <c r="C550" s="192"/>
      <c r="D550" s="193"/>
      <c r="E550" s="193"/>
      <c r="F550" s="129"/>
      <c r="G550" s="130">
        <v>55</v>
      </c>
      <c r="H550" s="131">
        <f>G550/G564</f>
        <v>2.6763990267639901E-2</v>
      </c>
      <c r="I550" s="130">
        <f t="shared" ref="I550:I564" si="100">G550*7%</f>
        <v>3.8500000000000005</v>
      </c>
      <c r="J550" s="86">
        <f t="shared" ref="J550:J564" si="101">G550*5%</f>
        <v>2.75</v>
      </c>
    </row>
    <row r="551" spans="3:10" x14ac:dyDescent="0.25">
      <c r="C551" s="192"/>
      <c r="D551" s="193"/>
      <c r="E551" s="193"/>
      <c r="F551" s="130"/>
      <c r="G551" s="130"/>
      <c r="H551" s="131">
        <f>G551/G564</f>
        <v>0</v>
      </c>
      <c r="I551" s="130">
        <f t="shared" si="100"/>
        <v>0</v>
      </c>
      <c r="J551" s="86">
        <f t="shared" si="101"/>
        <v>0</v>
      </c>
    </row>
    <row r="552" spans="3:10" x14ac:dyDescent="0.25">
      <c r="C552" s="192"/>
      <c r="D552" s="193"/>
      <c r="E552" s="193"/>
      <c r="F552" s="130"/>
      <c r="G552" s="130"/>
      <c r="H552" s="131">
        <f>G552/G564</f>
        <v>0</v>
      </c>
      <c r="I552" s="130">
        <f t="shared" si="100"/>
        <v>0</v>
      </c>
      <c r="J552" s="86">
        <f t="shared" si="101"/>
        <v>0</v>
      </c>
    </row>
    <row r="553" spans="3:10" x14ac:dyDescent="0.25">
      <c r="C553" s="192"/>
      <c r="D553" s="193"/>
      <c r="E553" s="193"/>
      <c r="F553" s="130"/>
      <c r="G553" s="130"/>
      <c r="H553" s="131">
        <f>G553/G564</f>
        <v>0</v>
      </c>
      <c r="I553" s="130">
        <f t="shared" si="100"/>
        <v>0</v>
      </c>
      <c r="J553" s="86">
        <f t="shared" si="101"/>
        <v>0</v>
      </c>
    </row>
    <row r="554" spans="3:10" x14ac:dyDescent="0.25">
      <c r="C554" s="192"/>
      <c r="D554" s="193"/>
      <c r="E554" s="193"/>
      <c r="F554" s="130"/>
      <c r="G554" s="130"/>
      <c r="H554" s="131">
        <f>G554/G564</f>
        <v>0</v>
      </c>
      <c r="I554" s="130">
        <f t="shared" si="100"/>
        <v>0</v>
      </c>
      <c r="J554" s="86">
        <f t="shared" si="101"/>
        <v>0</v>
      </c>
    </row>
    <row r="555" spans="3:10" x14ac:dyDescent="0.25">
      <c r="C555" s="192"/>
      <c r="D555" s="193"/>
      <c r="E555" s="193"/>
      <c r="F555" s="130"/>
      <c r="G555" s="130"/>
      <c r="H555" s="131">
        <f>G555/G564</f>
        <v>0</v>
      </c>
      <c r="I555" s="130">
        <f t="shared" si="100"/>
        <v>0</v>
      </c>
      <c r="J555" s="86">
        <f t="shared" si="101"/>
        <v>0</v>
      </c>
    </row>
    <row r="556" spans="3:10" x14ac:dyDescent="0.25">
      <c r="C556" s="192"/>
      <c r="D556" s="193"/>
      <c r="E556" s="193"/>
      <c r="F556" s="130"/>
      <c r="G556" s="130"/>
      <c r="H556" s="131">
        <f>G556/G564</f>
        <v>0</v>
      </c>
      <c r="I556" s="130">
        <f t="shared" si="100"/>
        <v>0</v>
      </c>
      <c r="J556" s="86">
        <f t="shared" si="101"/>
        <v>0</v>
      </c>
    </row>
    <row r="557" spans="3:10" x14ac:dyDescent="0.25">
      <c r="C557" s="192"/>
      <c r="D557" s="193"/>
      <c r="E557" s="193"/>
      <c r="F557" s="130"/>
      <c r="G557" s="130"/>
      <c r="H557" s="131">
        <f>G557/G564</f>
        <v>0</v>
      </c>
      <c r="I557" s="130">
        <f t="shared" si="100"/>
        <v>0</v>
      </c>
      <c r="J557" s="86">
        <f t="shared" si="101"/>
        <v>0</v>
      </c>
    </row>
    <row r="558" spans="3:10" x14ac:dyDescent="0.25">
      <c r="C558" s="192"/>
      <c r="D558" s="193"/>
      <c r="E558" s="193"/>
      <c r="F558" s="130"/>
      <c r="G558" s="130"/>
      <c r="H558" s="131">
        <f>G558/G564</f>
        <v>0</v>
      </c>
      <c r="I558" s="130">
        <f t="shared" si="100"/>
        <v>0</v>
      </c>
      <c r="J558" s="86">
        <f t="shared" si="101"/>
        <v>0</v>
      </c>
    </row>
    <row r="559" spans="3:10" x14ac:dyDescent="0.25">
      <c r="C559" s="192"/>
      <c r="D559" s="193"/>
      <c r="E559" s="193"/>
      <c r="F559" s="130"/>
      <c r="G559" s="130"/>
      <c r="H559" s="131">
        <f>G559/G564</f>
        <v>0</v>
      </c>
      <c r="I559" s="130">
        <f t="shared" si="100"/>
        <v>0</v>
      </c>
      <c r="J559" s="86">
        <f t="shared" si="101"/>
        <v>0</v>
      </c>
    </row>
    <row r="560" spans="3:10" x14ac:dyDescent="0.25">
      <c r="C560" s="192"/>
      <c r="D560" s="193"/>
      <c r="E560" s="193"/>
      <c r="F560" s="130"/>
      <c r="G560" s="130"/>
      <c r="H560" s="131">
        <f>G560/G564</f>
        <v>0</v>
      </c>
      <c r="I560" s="130">
        <f t="shared" si="100"/>
        <v>0</v>
      </c>
      <c r="J560" s="86">
        <f t="shared" si="101"/>
        <v>0</v>
      </c>
    </row>
    <row r="561" spans="3:10" x14ac:dyDescent="0.25">
      <c r="C561" s="192"/>
      <c r="D561" s="193"/>
      <c r="E561" s="193"/>
      <c r="F561" s="130"/>
      <c r="G561" s="130"/>
      <c r="H561" s="131">
        <f>G561/G564</f>
        <v>0</v>
      </c>
      <c r="I561" s="130">
        <f t="shared" si="100"/>
        <v>0</v>
      </c>
      <c r="J561" s="86">
        <f t="shared" si="101"/>
        <v>0</v>
      </c>
    </row>
    <row r="562" spans="3:10" ht="14.4" thickBot="1" x14ac:dyDescent="0.3">
      <c r="C562" s="194"/>
      <c r="D562" s="195"/>
      <c r="E562" s="195"/>
      <c r="F562" s="132"/>
      <c r="G562" s="132"/>
      <c r="H562" s="133">
        <f>G562/G564</f>
        <v>0</v>
      </c>
      <c r="I562" s="132">
        <f t="shared" si="100"/>
        <v>0</v>
      </c>
      <c r="J562" s="113">
        <f t="shared" si="101"/>
        <v>0</v>
      </c>
    </row>
    <row r="563" spans="3:10" ht="14.4" thickBot="1" x14ac:dyDescent="0.3">
      <c r="C563" s="196" t="s">
        <v>81</v>
      </c>
      <c r="D563" s="197"/>
      <c r="E563" s="197"/>
      <c r="F563" s="134"/>
      <c r="G563" s="134">
        <f>SUM(G549:G562)</f>
        <v>1055</v>
      </c>
      <c r="H563" s="135">
        <f>G563/G564</f>
        <v>0.51338199513381999</v>
      </c>
      <c r="I563" s="134">
        <f t="shared" si="100"/>
        <v>73.850000000000009</v>
      </c>
      <c r="J563" s="123">
        <f t="shared" si="101"/>
        <v>52.75</v>
      </c>
    </row>
    <row r="564" spans="3:10" ht="14.4" thickBot="1" x14ac:dyDescent="0.3">
      <c r="C564" s="196" t="s">
        <v>7</v>
      </c>
      <c r="D564" s="197"/>
      <c r="E564" s="197"/>
      <c r="F564" s="134"/>
      <c r="G564" s="134">
        <f>G547+G563</f>
        <v>2055</v>
      </c>
      <c r="H564" s="135">
        <f>G564/G564</f>
        <v>1</v>
      </c>
      <c r="I564" s="134">
        <f t="shared" si="100"/>
        <v>143.85000000000002</v>
      </c>
      <c r="J564" s="123">
        <f t="shared" si="101"/>
        <v>102.75</v>
      </c>
    </row>
  </sheetData>
  <mergeCells count="454">
    <mergeCell ref="L53:M53"/>
    <mergeCell ref="L54:M54"/>
    <mergeCell ref="L55:M55"/>
    <mergeCell ref="L56:M56"/>
    <mergeCell ref="C563:E563"/>
    <mergeCell ref="C564:E564"/>
    <mergeCell ref="C553:E553"/>
    <mergeCell ref="C554:E554"/>
    <mergeCell ref="C555:E555"/>
    <mergeCell ref="C556:E556"/>
    <mergeCell ref="C557:E557"/>
    <mergeCell ref="C558:E558"/>
    <mergeCell ref="C559:E559"/>
    <mergeCell ref="C560:E560"/>
    <mergeCell ref="C561:E561"/>
    <mergeCell ref="C541:E541"/>
    <mergeCell ref="C543:E543"/>
    <mergeCell ref="C544:E544"/>
    <mergeCell ref="C535:E535"/>
    <mergeCell ref="C536:E536"/>
    <mergeCell ref="C537:E537"/>
    <mergeCell ref="C538:E538"/>
    <mergeCell ref="C539:E539"/>
    <mergeCell ref="C562:E562"/>
    <mergeCell ref="C542:I542"/>
    <mergeCell ref="C548:I548"/>
    <mergeCell ref="C549:E549"/>
    <mergeCell ref="C550:E550"/>
    <mergeCell ref="C551:E551"/>
    <mergeCell ref="C552:E552"/>
    <mergeCell ref="C545:E545"/>
    <mergeCell ref="C546:E546"/>
    <mergeCell ref="C547:E547"/>
    <mergeCell ref="C310:E310"/>
    <mergeCell ref="C317:I317"/>
    <mergeCell ref="C323:I323"/>
    <mergeCell ref="C293:E293"/>
    <mergeCell ref="C294:E294"/>
    <mergeCell ref="C285:E285"/>
    <mergeCell ref="C287:E287"/>
    <mergeCell ref="C288:E288"/>
    <mergeCell ref="C289:E289"/>
    <mergeCell ref="C300:E300"/>
    <mergeCell ref="C301:E301"/>
    <mergeCell ref="C302:E302"/>
    <mergeCell ref="C303:E303"/>
    <mergeCell ref="C304:E304"/>
    <mergeCell ref="C295:E295"/>
    <mergeCell ref="C296:E296"/>
    <mergeCell ref="C297:E297"/>
    <mergeCell ref="C299:E299"/>
    <mergeCell ref="C311:E311"/>
    <mergeCell ref="C312:E312"/>
    <mergeCell ref="C313:E313"/>
    <mergeCell ref="C314:E314"/>
    <mergeCell ref="C305:E305"/>
    <mergeCell ref="C306:E306"/>
    <mergeCell ref="C192:I192"/>
    <mergeCell ref="C195:E195"/>
    <mergeCell ref="C198:I198"/>
    <mergeCell ref="C153:E153"/>
    <mergeCell ref="C154:E154"/>
    <mergeCell ref="C155:E155"/>
    <mergeCell ref="C156:E156"/>
    <mergeCell ref="C157:E157"/>
    <mergeCell ref="C149:E149"/>
    <mergeCell ref="C150:E150"/>
    <mergeCell ref="C151:E151"/>
    <mergeCell ref="C152:E152"/>
    <mergeCell ref="C168:E168"/>
    <mergeCell ref="C169:E169"/>
    <mergeCell ref="C170:E170"/>
    <mergeCell ref="C172:E172"/>
    <mergeCell ref="C163:E163"/>
    <mergeCell ref="C164:E164"/>
    <mergeCell ref="C160:E160"/>
    <mergeCell ref="C161:E161"/>
    <mergeCell ref="C162:E162"/>
    <mergeCell ref="C178:E178"/>
    <mergeCell ref="C179:E179"/>
    <mergeCell ref="C180:E180"/>
    <mergeCell ref="C118:E118"/>
    <mergeCell ref="C120:E120"/>
    <mergeCell ref="C121:E121"/>
    <mergeCell ref="C122:E122"/>
    <mergeCell ref="G57:J57"/>
    <mergeCell ref="G76:J76"/>
    <mergeCell ref="K3:L3"/>
    <mergeCell ref="C116:E116"/>
    <mergeCell ref="A54:B54"/>
    <mergeCell ref="A55:B55"/>
    <mergeCell ref="A56:B56"/>
    <mergeCell ref="D3:E3"/>
    <mergeCell ref="A48:B48"/>
    <mergeCell ref="A49:B49"/>
    <mergeCell ref="A50:B50"/>
    <mergeCell ref="A51:B51"/>
    <mergeCell ref="A52:B52"/>
    <mergeCell ref="A53:B53"/>
    <mergeCell ref="C119:E119"/>
    <mergeCell ref="L48:M48"/>
    <mergeCell ref="L49:M49"/>
    <mergeCell ref="L50:M50"/>
    <mergeCell ref="L51:M51"/>
    <mergeCell ref="L52:M52"/>
    <mergeCell ref="C128:E128"/>
    <mergeCell ref="C129:E129"/>
    <mergeCell ref="C130:E130"/>
    <mergeCell ref="C131:E131"/>
    <mergeCell ref="C132:E132"/>
    <mergeCell ref="C124:E124"/>
    <mergeCell ref="C125:E125"/>
    <mergeCell ref="C126:E126"/>
    <mergeCell ref="C127:E127"/>
    <mergeCell ref="C138:E138"/>
    <mergeCell ref="C139:E139"/>
    <mergeCell ref="C141:E141"/>
    <mergeCell ref="C133:E133"/>
    <mergeCell ref="C134:E134"/>
    <mergeCell ref="C135:E135"/>
    <mergeCell ref="C136:E136"/>
    <mergeCell ref="C137:E137"/>
    <mergeCell ref="C181:E181"/>
    <mergeCell ref="C143:E143"/>
    <mergeCell ref="C144:E144"/>
    <mergeCell ref="C145:E145"/>
    <mergeCell ref="C146:E146"/>
    <mergeCell ref="C147:E147"/>
    <mergeCell ref="C148:I148"/>
    <mergeCell ref="C166:E166"/>
    <mergeCell ref="C167:I167"/>
    <mergeCell ref="C171:E171"/>
    <mergeCell ref="C173:I173"/>
    <mergeCell ref="C182:E182"/>
    <mergeCell ref="C174:E174"/>
    <mergeCell ref="C175:E175"/>
    <mergeCell ref="C176:E176"/>
    <mergeCell ref="C177:E177"/>
    <mergeCell ref="C199:E199"/>
    <mergeCell ref="C200:E200"/>
    <mergeCell ref="C117:I117"/>
    <mergeCell ref="C123:I123"/>
    <mergeCell ref="C142:I142"/>
    <mergeCell ref="C193:E193"/>
    <mergeCell ref="C194:E194"/>
    <mergeCell ref="C196:E196"/>
    <mergeCell ref="C197:E197"/>
    <mergeCell ref="C188:E188"/>
    <mergeCell ref="C189:E189"/>
    <mergeCell ref="C191:E191"/>
    <mergeCell ref="C183:E183"/>
    <mergeCell ref="C184:E184"/>
    <mergeCell ref="C185:E185"/>
    <mergeCell ref="C186:E186"/>
    <mergeCell ref="C187:E187"/>
    <mergeCell ref="C158:E158"/>
    <mergeCell ref="C159:E159"/>
    <mergeCell ref="C206:E206"/>
    <mergeCell ref="C207:E207"/>
    <mergeCell ref="C208:E208"/>
    <mergeCell ref="C209:E209"/>
    <mergeCell ref="C210:E210"/>
    <mergeCell ref="C201:E201"/>
    <mergeCell ref="C202:E202"/>
    <mergeCell ref="C203:E203"/>
    <mergeCell ref="C204:E204"/>
    <mergeCell ref="C205:E205"/>
    <mergeCell ref="C218:E218"/>
    <mergeCell ref="C220:E220"/>
    <mergeCell ref="C221:E221"/>
    <mergeCell ref="C211:E211"/>
    <mergeCell ref="C213:E213"/>
    <mergeCell ref="C216:E216"/>
    <mergeCell ref="C212:E212"/>
    <mergeCell ref="C214:E214"/>
    <mergeCell ref="C217:I217"/>
    <mergeCell ref="C219:E219"/>
    <mergeCell ref="C227:E227"/>
    <mergeCell ref="C228:E228"/>
    <mergeCell ref="C229:E229"/>
    <mergeCell ref="C230:E230"/>
    <mergeCell ref="C231:E231"/>
    <mergeCell ref="C222:E222"/>
    <mergeCell ref="C224:E224"/>
    <mergeCell ref="C225:E225"/>
    <mergeCell ref="C226:E226"/>
    <mergeCell ref="C223:I223"/>
    <mergeCell ref="C239:E239"/>
    <mergeCell ref="C241:E241"/>
    <mergeCell ref="C232:E232"/>
    <mergeCell ref="C233:E233"/>
    <mergeCell ref="C234:E234"/>
    <mergeCell ref="C235:E235"/>
    <mergeCell ref="C237:E237"/>
    <mergeCell ref="C236:E236"/>
    <mergeCell ref="C238:E238"/>
    <mergeCell ref="C253:E253"/>
    <mergeCell ref="C254:E254"/>
    <mergeCell ref="C255:E255"/>
    <mergeCell ref="C256:E256"/>
    <mergeCell ref="C257:E257"/>
    <mergeCell ref="C260:E260"/>
    <mergeCell ref="C262:E262"/>
    <mergeCell ref="C242:I242"/>
    <mergeCell ref="C249:E249"/>
    <mergeCell ref="C250:E250"/>
    <mergeCell ref="C251:E251"/>
    <mergeCell ref="C252:E252"/>
    <mergeCell ref="C244:E244"/>
    <mergeCell ref="C245:E245"/>
    <mergeCell ref="C246:E246"/>
    <mergeCell ref="C247:E247"/>
    <mergeCell ref="C243:E243"/>
    <mergeCell ref="C248:I248"/>
    <mergeCell ref="C269:E269"/>
    <mergeCell ref="C270:E270"/>
    <mergeCell ref="C271:E271"/>
    <mergeCell ref="C272:E272"/>
    <mergeCell ref="C264:E264"/>
    <mergeCell ref="C266:E266"/>
    <mergeCell ref="C267:I267"/>
    <mergeCell ref="C268:E268"/>
    <mergeCell ref="C258:E258"/>
    <mergeCell ref="C259:E259"/>
    <mergeCell ref="C261:E261"/>
    <mergeCell ref="C263:E263"/>
    <mergeCell ref="C307:E307"/>
    <mergeCell ref="C309:E309"/>
    <mergeCell ref="C273:I273"/>
    <mergeCell ref="C279:E279"/>
    <mergeCell ref="C280:E280"/>
    <mergeCell ref="C281:E281"/>
    <mergeCell ref="C282:E282"/>
    <mergeCell ref="C283:E283"/>
    <mergeCell ref="C274:E274"/>
    <mergeCell ref="C275:E275"/>
    <mergeCell ref="C276:E276"/>
    <mergeCell ref="C277:E277"/>
    <mergeCell ref="C278:E278"/>
    <mergeCell ref="C284:E284"/>
    <mergeCell ref="C286:E286"/>
    <mergeCell ref="C291:E291"/>
    <mergeCell ref="C292:I292"/>
    <mergeCell ref="C298:I298"/>
    <mergeCell ref="C308:E308"/>
    <mergeCell ref="C321:E321"/>
    <mergeCell ref="C322:E322"/>
    <mergeCell ref="C324:E324"/>
    <mergeCell ref="C325:E325"/>
    <mergeCell ref="C316:E316"/>
    <mergeCell ref="C318:E318"/>
    <mergeCell ref="C319:E319"/>
    <mergeCell ref="C320:E320"/>
    <mergeCell ref="C331:E331"/>
    <mergeCell ref="C337:E337"/>
    <mergeCell ref="C338:E338"/>
    <mergeCell ref="C341:E341"/>
    <mergeCell ref="C339:E339"/>
    <mergeCell ref="C342:I342"/>
    <mergeCell ref="C333:E333"/>
    <mergeCell ref="C335:E335"/>
    <mergeCell ref="C336:E336"/>
    <mergeCell ref="C326:E326"/>
    <mergeCell ref="C327:E327"/>
    <mergeCell ref="C328:E328"/>
    <mergeCell ref="C329:E329"/>
    <mergeCell ref="C330:E330"/>
    <mergeCell ref="C332:E332"/>
    <mergeCell ref="C334:E334"/>
    <mergeCell ref="C347:E347"/>
    <mergeCell ref="C349:E349"/>
    <mergeCell ref="C350:E350"/>
    <mergeCell ref="C351:E351"/>
    <mergeCell ref="C348:I348"/>
    <mergeCell ref="C356:E356"/>
    <mergeCell ref="C343:E343"/>
    <mergeCell ref="C344:E344"/>
    <mergeCell ref="C345:E345"/>
    <mergeCell ref="C346:E346"/>
    <mergeCell ref="C364:E364"/>
    <mergeCell ref="C366:E366"/>
    <mergeCell ref="C359:E359"/>
    <mergeCell ref="C360:E360"/>
    <mergeCell ref="C361:E361"/>
    <mergeCell ref="C362:E362"/>
    <mergeCell ref="C358:E358"/>
    <mergeCell ref="C363:E363"/>
    <mergeCell ref="C352:E352"/>
    <mergeCell ref="C353:E353"/>
    <mergeCell ref="C354:E354"/>
    <mergeCell ref="C355:E355"/>
    <mergeCell ref="C357:E357"/>
    <mergeCell ref="C378:E378"/>
    <mergeCell ref="C379:E379"/>
    <mergeCell ref="C381:E381"/>
    <mergeCell ref="C383:E383"/>
    <mergeCell ref="C380:E380"/>
    <mergeCell ref="C382:E382"/>
    <mergeCell ref="C387:E387"/>
    <mergeCell ref="C367:I367"/>
    <mergeCell ref="C374:E374"/>
    <mergeCell ref="C375:E375"/>
    <mergeCell ref="C376:E376"/>
    <mergeCell ref="C377:E377"/>
    <mergeCell ref="C368:E368"/>
    <mergeCell ref="C369:E369"/>
    <mergeCell ref="C370:E370"/>
    <mergeCell ref="C371:E371"/>
    <mergeCell ref="C372:E372"/>
    <mergeCell ref="C373:I373"/>
    <mergeCell ref="C394:E394"/>
    <mergeCell ref="C395:E395"/>
    <mergeCell ref="C396:E396"/>
    <mergeCell ref="C397:E397"/>
    <mergeCell ref="C389:E389"/>
    <mergeCell ref="C391:E391"/>
    <mergeCell ref="C393:E393"/>
    <mergeCell ref="C392:I392"/>
    <mergeCell ref="C384:E384"/>
    <mergeCell ref="C385:E385"/>
    <mergeCell ref="C386:E386"/>
    <mergeCell ref="C388:E388"/>
    <mergeCell ref="C398:I398"/>
    <mergeCell ref="C405:E405"/>
    <mergeCell ref="C407:E407"/>
    <mergeCell ref="C408:E408"/>
    <mergeCell ref="C409:E409"/>
    <mergeCell ref="C399:E399"/>
    <mergeCell ref="C400:E400"/>
    <mergeCell ref="C401:E401"/>
    <mergeCell ref="C402:E402"/>
    <mergeCell ref="C403:E403"/>
    <mergeCell ref="C404:E404"/>
    <mergeCell ref="C406:E406"/>
    <mergeCell ref="C416:E416"/>
    <mergeCell ref="C418:E418"/>
    <mergeCell ref="C419:E419"/>
    <mergeCell ref="C410:E410"/>
    <mergeCell ref="C412:E412"/>
    <mergeCell ref="C413:E413"/>
    <mergeCell ref="C414:E414"/>
    <mergeCell ref="C411:E411"/>
    <mergeCell ref="C417:I417"/>
    <mergeCell ref="C425:E425"/>
    <mergeCell ref="C426:E426"/>
    <mergeCell ref="C427:E427"/>
    <mergeCell ref="C429:E429"/>
    <mergeCell ref="C420:E420"/>
    <mergeCell ref="C421:E421"/>
    <mergeCell ref="C422:E422"/>
    <mergeCell ref="C424:E424"/>
    <mergeCell ref="C423:I423"/>
    <mergeCell ref="C428:E428"/>
    <mergeCell ref="C441:E441"/>
    <mergeCell ref="C443:E443"/>
    <mergeCell ref="C444:E444"/>
    <mergeCell ref="C445:E445"/>
    <mergeCell ref="C442:I442"/>
    <mergeCell ref="C448:I448"/>
    <mergeCell ref="C430:E430"/>
    <mergeCell ref="C436:E436"/>
    <mergeCell ref="C437:E437"/>
    <mergeCell ref="C438:E438"/>
    <mergeCell ref="C439:E439"/>
    <mergeCell ref="C431:E431"/>
    <mergeCell ref="C432:E432"/>
    <mergeCell ref="C433:E433"/>
    <mergeCell ref="C434:E434"/>
    <mergeCell ref="C435:E435"/>
    <mergeCell ref="C451:E451"/>
    <mergeCell ref="C453:E453"/>
    <mergeCell ref="C455:E455"/>
    <mergeCell ref="C456:E456"/>
    <mergeCell ref="C452:E452"/>
    <mergeCell ref="C454:E454"/>
    <mergeCell ref="C459:E459"/>
    <mergeCell ref="C446:E446"/>
    <mergeCell ref="C447:E447"/>
    <mergeCell ref="C449:E449"/>
    <mergeCell ref="C450:E450"/>
    <mergeCell ref="C462:E462"/>
    <mergeCell ref="C463:E463"/>
    <mergeCell ref="C464:E464"/>
    <mergeCell ref="C466:E466"/>
    <mergeCell ref="C467:I467"/>
    <mergeCell ref="C457:E457"/>
    <mergeCell ref="C458:E458"/>
    <mergeCell ref="C460:E460"/>
    <mergeCell ref="C461:E461"/>
    <mergeCell ref="C472:E472"/>
    <mergeCell ref="C474:E474"/>
    <mergeCell ref="C475:E475"/>
    <mergeCell ref="C477:E477"/>
    <mergeCell ref="C473:I473"/>
    <mergeCell ref="C476:E476"/>
    <mergeCell ref="C478:E478"/>
    <mergeCell ref="C468:E468"/>
    <mergeCell ref="C469:E469"/>
    <mergeCell ref="C470:E470"/>
    <mergeCell ref="C471:E471"/>
    <mergeCell ref="C488:E488"/>
    <mergeCell ref="C489:E489"/>
    <mergeCell ref="C491:E491"/>
    <mergeCell ref="C484:E484"/>
    <mergeCell ref="C485:E485"/>
    <mergeCell ref="C486:E486"/>
    <mergeCell ref="C487:E487"/>
    <mergeCell ref="C483:E483"/>
    <mergeCell ref="C479:E479"/>
    <mergeCell ref="C480:E480"/>
    <mergeCell ref="C481:E481"/>
    <mergeCell ref="C482:E482"/>
    <mergeCell ref="C504:E504"/>
    <mergeCell ref="C505:E505"/>
    <mergeCell ref="C506:E506"/>
    <mergeCell ref="C508:E508"/>
    <mergeCell ref="C507:E507"/>
    <mergeCell ref="C492:I492"/>
    <mergeCell ref="C499:E499"/>
    <mergeCell ref="C501:E501"/>
    <mergeCell ref="C503:E503"/>
    <mergeCell ref="C493:E493"/>
    <mergeCell ref="C494:E494"/>
    <mergeCell ref="C495:E495"/>
    <mergeCell ref="C496:E496"/>
    <mergeCell ref="C497:E497"/>
    <mergeCell ref="C498:I498"/>
    <mergeCell ref="C500:E500"/>
    <mergeCell ref="C502:E502"/>
    <mergeCell ref="C519:E519"/>
    <mergeCell ref="C520:E520"/>
    <mergeCell ref="C521:E521"/>
    <mergeCell ref="C522:E522"/>
    <mergeCell ref="C514:E514"/>
    <mergeCell ref="C516:E516"/>
    <mergeCell ref="C518:E518"/>
    <mergeCell ref="C517:I517"/>
    <mergeCell ref="C509:E509"/>
    <mergeCell ref="C510:E510"/>
    <mergeCell ref="C511:E511"/>
    <mergeCell ref="C512:E512"/>
    <mergeCell ref="C513:E513"/>
    <mergeCell ref="C523:I523"/>
    <mergeCell ref="C530:E530"/>
    <mergeCell ref="C532:E532"/>
    <mergeCell ref="C533:E533"/>
    <mergeCell ref="C534:E534"/>
    <mergeCell ref="C525:E525"/>
    <mergeCell ref="C527:E527"/>
    <mergeCell ref="C528:E528"/>
    <mergeCell ref="C529:E529"/>
    <mergeCell ref="C524:E524"/>
    <mergeCell ref="C526:E526"/>
    <mergeCell ref="C531:E531"/>
  </mergeCells>
  <hyperlinks>
    <hyperlink ref="A25" location="Template!F3" display="Renovation cost/cost allocation" xr:uid="{33991932-D5D2-414B-98F2-31CD1BB856A5}"/>
    <hyperlink ref="D46" location="Template!A25" display="Total Renovation Cost" xr:uid="{D403CC14-69C9-4A84-8487-A3CE90B230F9}"/>
    <hyperlink ref="A1" location="Template!A66" display="Bookkeping" xr:uid="{9AA9AC2E-22D9-437B-8151-AB3D6C3E8638}"/>
    <hyperlink ref="A21" location="Template!M3" display="Mortgage payment" xr:uid="{8C8D49D7-7357-45E1-B3B4-3650FB9CB9D4}"/>
    <hyperlink ref="K3:L3" location="Template!A21" display="Mortgage Calculator" xr:uid="{F7C06E3E-9B17-4BE6-B425-E5BB7C0FFC19}"/>
    <hyperlink ref="D3:E3" location="Template!A80" display="Renovation Cost Allocation" xr:uid="{573EA260-D20E-4055-9D7B-2C47A6A237BA}"/>
    <hyperlink ref="A47" location="Template!A1" display="Back to top" xr:uid="{80E01CCD-82E3-498E-9D85-731BE5DE9DDD}"/>
    <hyperlink ref="G58" location="Template!H139" display="Template!H139" xr:uid="{CB4F3F94-CA24-46F1-8D63-DFD2717BA92A}"/>
    <hyperlink ref="G77" location="Template!G139" display="Template!G139" xr:uid="{E712CDFA-B07E-4F6B-8ADC-1FDD553C08A4}"/>
    <hyperlink ref="C117:I117" location="Template!H58" display="Labour cost" xr:uid="{7839678A-E1F9-4717-852C-E36506A58826}"/>
    <hyperlink ref="C123:I123" location="Template!H77" display="Material Cost" xr:uid="{B6F511AF-E83D-405F-AE7C-B4145EA02D00}"/>
    <hyperlink ref="A116" location="Template!A1" display="Back to top" xr:uid="{D1495661-7A12-4D58-B32D-55355063BAD5}"/>
    <hyperlink ref="A141" location="Template!A1" display="Back to top" xr:uid="{5C3F43A5-38B7-4635-A0DF-9EE95806579A}"/>
    <hyperlink ref="A166" location="Template!A1" display="Back to top" xr:uid="{3028BBA3-6164-4C5A-9900-2B0DDE6E8D43}"/>
    <hyperlink ref="A191" location="Template!A1" display="Back to top" xr:uid="{A875EC8F-8BBE-4980-B6DC-6275D0798D96}"/>
    <hyperlink ref="A216" location="Template!A1" display="Back to top" xr:uid="{6B7B54FD-57ED-4828-BD6F-435AA6C2C146}"/>
    <hyperlink ref="A241" location="Template!A1" display="Back to top" xr:uid="{2F4EABE2-5327-46DE-8D7B-76CFA9C3924B}"/>
    <hyperlink ref="A266" location="Template!A1" display="Back to top" xr:uid="{23A0BDD0-D76D-4AF9-B3CB-B951606C0D5E}"/>
    <hyperlink ref="A291" location="Template!A1" display="Back to top" xr:uid="{C72710A2-D1C4-4655-A352-A09A9B33F6A8}"/>
    <hyperlink ref="A316" location="Template!A1" display="Back to top" xr:uid="{DEED2EA9-2435-4510-8679-65854F59F949}"/>
    <hyperlink ref="A341" location="Template!A1" display="Back to top" xr:uid="{20E16DEC-F981-41D0-8D03-041D15FCDA91}"/>
    <hyperlink ref="A366" location="Template!A1" display="Back to top" xr:uid="{6C19A10C-BBB9-4C3C-95BB-22E89BF93224}"/>
    <hyperlink ref="A391" location="Template!A1" display="Back to top" xr:uid="{3F3683FA-9801-4A61-A402-E26AE6978E53}"/>
    <hyperlink ref="A416" location="Template!A1" display="Back to top" xr:uid="{DFD31904-33E8-426D-A9D1-B31AE769FE55}"/>
    <hyperlink ref="A466" location="Template!A1" display="Back to top" xr:uid="{BB22BCDA-7AA8-4296-B168-74FCE519DB8A}"/>
    <hyperlink ref="A516" location="Template!A1" display="Back to top" xr:uid="{407F4F5A-B071-44C6-B0CE-23A20D398106}"/>
    <hyperlink ref="A541" location="Template!A1" display="Back to top" xr:uid="{F4511011-4AF4-458F-82B2-60D3D901A995}"/>
    <hyperlink ref="G59" location="Template!H164" display="Template!H164" xr:uid="{7D2C8025-EE23-4CDE-A37F-6C68F0D97C7F}"/>
    <hyperlink ref="G78" location="Template!H164" display="Template!H164" xr:uid="{9CD510C7-FE19-4508-8597-A41D9155BDB1}"/>
    <hyperlink ref="G60" location="Template!H189" display="Template!H189" xr:uid="{3AF5C603-0D5F-496C-AEF6-3460295E8BA8}"/>
    <hyperlink ref="G79" location="Template!H189" display="Template!H189" xr:uid="{580135B1-BAFD-4C96-A2B6-1C86B4675258}"/>
    <hyperlink ref="G61" location="Template!H214" display="Template!H214" xr:uid="{B4CAC84C-66A6-4669-96CD-42682953C1C4}"/>
    <hyperlink ref="G80" location="Template!H214" display="Template!H214" xr:uid="{8B915584-3F35-4A73-A054-231C53F2FBE7}"/>
    <hyperlink ref="G62" location="Template!H239" display="Template!H239" xr:uid="{9E059374-D003-4272-950B-2C43BED51094}"/>
    <hyperlink ref="G81" location="Template!H239" display="Template!H239" xr:uid="{0AB14F03-25B8-489F-9882-8C04FDDB9D74}"/>
    <hyperlink ref="G63" location="Template!H264" display="Template!H264" xr:uid="{64E238B0-3920-4EF6-AA78-10A1BB7FE52E}"/>
    <hyperlink ref="G82" location="Template!H263" display="Template!H263" xr:uid="{6194AADF-0E58-43FA-A259-091C5AA46036}"/>
    <hyperlink ref="G64" location="Template!H289" display="Template!H289" xr:uid="{063D2CDC-2E69-474C-9076-675D53C329B5}"/>
    <hyperlink ref="G83" location="Template!H289" display="Template!H289" xr:uid="{54E6ECE5-8BD1-4929-884F-2FB793C55AA1}"/>
    <hyperlink ref="G65" location="Template!H314" display="Template!H314" xr:uid="{C067D659-85EE-49FC-8E52-82101709E352}"/>
    <hyperlink ref="G84" location="Template!H314" display="Template!H314" xr:uid="{BD193B45-93A3-4652-B4E5-89BE31D3930E}"/>
    <hyperlink ref="G66" location="Template!H339" display="Template!H339" xr:uid="{2F77F123-5D55-4D8E-BA29-5806771D1DE4}"/>
    <hyperlink ref="G85" location="Template!H339" display="Template!H339" xr:uid="{4676E0E5-2378-4FEB-A487-017188480D84}"/>
    <hyperlink ref="G67" location="Template!H364" display="Template!H364" xr:uid="{D3209CC1-5FEF-4B06-901F-A875444F7200}"/>
    <hyperlink ref="G86" location="Template!H364" display="Template!H364" xr:uid="{51657AF2-D135-49B5-B7F8-B436AF2EC70C}"/>
    <hyperlink ref="G68" location="Template!H389" display="Template!H389" xr:uid="{699DC9DA-5E6B-41EE-8292-023911A21571}"/>
    <hyperlink ref="G87" location="Template!H389" display="Template!H389" xr:uid="{F8DAA150-E5DF-448D-A83A-5630A53C0688}"/>
    <hyperlink ref="G69" location="Template!H414" display="Template!H414" xr:uid="{614D74FB-2B01-4249-A65E-3C73B2263CC4}"/>
    <hyperlink ref="G88" location="Template!H414" display="Template!H414" xr:uid="{3F74CCCB-78C2-45B1-8436-16FEDAC6E53A}"/>
    <hyperlink ref="G70" location="Template!H439" display="Template!H439" xr:uid="{8EBE3B7A-EB55-42E4-9EEE-6A72EE551EFC}"/>
    <hyperlink ref="G89" location="Template!H439" display="Template!H439" xr:uid="{0BAFD622-8126-47E4-A9B2-A66C35A3D097}"/>
    <hyperlink ref="G71" location="Template!H464" display="Template!H464" xr:uid="{C621DFE4-4757-436B-A1F6-D63BCDAE385C}"/>
    <hyperlink ref="G90" location="Template!H464" display="Template!H464" xr:uid="{7D1A9ED9-C12E-4BC2-9249-C41DE2720A22}"/>
    <hyperlink ref="G72" location="Template!H489" display="Template!H489" xr:uid="{1BB30BF1-D893-4772-A666-224DEF2CFE4A}"/>
    <hyperlink ref="G91" location="Template!H489" display="Template!H489" xr:uid="{EFBB40D0-7F9A-4829-A4A8-54255DC308F9}"/>
    <hyperlink ref="G73" location="Template!H514" display="Template!H514" xr:uid="{62715352-F9AD-4CCF-B67B-7C61D2B6A7DC}"/>
    <hyperlink ref="G92" location="Template!H514" display="Template!H514" xr:uid="{137BFCC9-0134-427F-8E96-3E60FDF64BCD}"/>
    <hyperlink ref="G74" location="Template!H539" display="Template!H539" xr:uid="{BB4CB7D0-C7EF-4467-A851-6F40AAA99357}"/>
    <hyperlink ref="G93" location="Template!H539" display="Template!H539" xr:uid="{0CCC6C0D-ACED-42FA-8E7D-AB011FB8D8E1}"/>
    <hyperlink ref="G75" location="Template!H564" display="Template!H564" xr:uid="{2377F4D6-638A-4DAC-9CC0-FC235AE51054}"/>
    <hyperlink ref="G94" location="Template!H564" display="Template!H564" xr:uid="{9C3033E3-BFAD-4B67-9D61-81DC9B4FF189}"/>
    <hyperlink ref="E98" location="Template!B47" display="Bookkeeping top" xr:uid="{C8C01594-E64C-449D-88A3-867548DF69EC}"/>
    <hyperlink ref="C142:I142" location="Template!H59" display="Labour cost" xr:uid="{4441CF93-77BF-45C0-938E-90DD9A7ECDC6}"/>
    <hyperlink ref="C148:I148" location="Template!H78" display="Material Cost" xr:uid="{B2EBAE53-7C5A-4228-97BD-09E7E573D781}"/>
    <hyperlink ref="C167:I167" location="Template!H60" display="Labour cost" xr:uid="{84566EAC-A82F-44E0-A837-6F102DC86787}"/>
    <hyperlink ref="C173:I173" location="Template!H79" display="Material Cost" xr:uid="{E4FF4460-15AF-49F8-A9E6-9A60BD8650ED}"/>
    <hyperlink ref="C192:I192" location="Template!H61" display="Labour cost" xr:uid="{487D685B-5731-45D2-BE5D-CBF08C9488D3}"/>
    <hyperlink ref="C198:I198" location="Template!H80" display="Material Cost" xr:uid="{62484A6D-4AC4-4EBF-99AD-B63595A6AEE5}"/>
    <hyperlink ref="C217:I217" location="Template!H62" display="Labour cost" xr:uid="{8CD53C5C-126E-4D0C-BC9B-2C8DF91E6B8E}"/>
    <hyperlink ref="C223:I223" location="Template!H81" display="Material Cost" xr:uid="{F8CAB5BE-5C7E-45DE-957C-D67A3FF61D9B}"/>
    <hyperlink ref="C242:I242" location="Template!H63" display="Labour cost" xr:uid="{9907F53F-6E9F-4E5D-8FC1-C94D03202CEF}"/>
    <hyperlink ref="C248:I248" location="Template!H82" display="Material Cost" xr:uid="{DCF74955-6C2D-480C-B1C9-5B865145263A}"/>
    <hyperlink ref="C267:I267" location="Template!H64" display="Labour cost" xr:uid="{1CBA368D-1494-44DC-A5CD-705F4F0393F1}"/>
    <hyperlink ref="C273:I273" location="Template!H83" display="Material Cost" xr:uid="{13218490-E52D-45B0-9537-F97540F17257}"/>
    <hyperlink ref="C292:I292" location="Template!H65" display="Labour cost" xr:uid="{73546C66-0541-470F-9D9A-E09A14905213}"/>
    <hyperlink ref="C298:I298" location="Template!H84" display="Material Cost" xr:uid="{6CEE70D8-9652-4E10-AB67-177A12F3047E}"/>
    <hyperlink ref="C317:I317" location="Template!H66" display="Labour cost" xr:uid="{D3B1BF98-A96D-47E5-9CD3-694CF2C336AC}"/>
    <hyperlink ref="C323:I323" location="Template!H85" display="Material Cost" xr:uid="{3281419A-87CC-46DF-9FBD-D4AAEE146B57}"/>
    <hyperlink ref="C342:I342" location="Template!H67" display="Labour cost" xr:uid="{7D4E0AC2-65EF-404C-B1F8-27AEF5B6AB1E}"/>
    <hyperlink ref="C348:I348" location="Template!H86" display="Material Cost" xr:uid="{CA7969F0-894B-4F7C-8B38-5A36F2B549AD}"/>
    <hyperlink ref="C367:I367" location="Template!H68" display="Labour cost" xr:uid="{EA603B1A-481B-41CC-8452-77AEE26A0DD0}"/>
    <hyperlink ref="C373:I373" location="Template!H87" display="Material Cost" xr:uid="{7631BE56-0ECD-4885-A23F-479F7B896696}"/>
    <hyperlink ref="C392:I392" location="Template!H69" display="Labour cost" xr:uid="{E5FDD2AB-B47F-4DD6-A23B-050C4F35DF7E}"/>
    <hyperlink ref="C398:I398" location="Template!H88" display="Material Cost" xr:uid="{B3B4E05D-140F-486B-ABE3-BB9D42AB50F9}"/>
    <hyperlink ref="C417:I417" location="Template!H70" display="Labour cost" xr:uid="{954BAB7C-11AF-4A9C-B86A-900F30B4F37E}"/>
    <hyperlink ref="C423:I423" location="Template!H89" display="Material Cost" xr:uid="{83921516-D334-42FB-A863-25425C6079C0}"/>
    <hyperlink ref="C442:I442" location="Template!H71" display="Labour cost" xr:uid="{C0642BC2-8263-4445-B4BE-6941BBA53627}"/>
    <hyperlink ref="C448:I448" location="Template!H90" display="Material Cost" xr:uid="{A37632F5-1E79-499B-8899-1937D69458F0}"/>
    <hyperlink ref="C467:I467" location="Template!H72" display="Labour cost" xr:uid="{DB5C622E-B988-4402-8F47-07DFD02B6AB6}"/>
    <hyperlink ref="C473:I473" location="Template!H91" display="Material Cost" xr:uid="{8A8918DC-99C4-4515-90C4-906FB9BBED87}"/>
    <hyperlink ref="C492:I492" location="Template!H73" display="Labour cost" xr:uid="{5BB509EC-3DF0-4EB6-9CC8-23C601F0EBB2}"/>
    <hyperlink ref="C498:I498" location="Template!H92" display="Material Cost" xr:uid="{427C03A6-0202-4E16-9933-AC20029A3395}"/>
    <hyperlink ref="C517:I517" location="Template!H74" display="Labour cost" xr:uid="{2C77F136-FF0E-4BFE-99F5-DB3899ED3E16}"/>
    <hyperlink ref="C523:I523" location="Template!H93" display="Material Cost" xr:uid="{14FBE5B6-D433-4B52-AF4E-0AED597E23E3}"/>
    <hyperlink ref="C542:I542" location="Template!H75" display="Labour cost" xr:uid="{8AF3DC8E-62D7-4A70-A9E2-75BE2CF185F2}"/>
    <hyperlink ref="C548:I548" location="Template!H94" display="Material Cost" xr:uid="{B1487C0B-EFD2-4512-B2E8-B7EBAFD496E8}"/>
    <hyperlink ref="A491" location="Template!A1" display="Back to top" xr:uid="{DA6F134E-BBA2-49D5-BE77-7FDC1847A377}"/>
    <hyperlink ref="A441" location="Template!A1" display="Back to top" xr:uid="{B0E6C2AA-E12A-42F6-B74F-D11BA778F06B}"/>
    <hyperlink ref="A60" location="Template!E1" display="Back" xr:uid="{C57A8993-EF8F-4AD1-9757-BDD8E76E4E9D}"/>
    <hyperlink ref="F3" location="Result!A1" display="Actural cost" xr:uid="{CEB0F280-4A3A-4167-8985-4B9D530DC3B0}"/>
    <hyperlink ref="L47" location="Template!A47" display="Back to bookkeeping" xr:uid="{135CC734-E198-4277-8B2C-71B1B3C239D6}"/>
    <hyperlink ref="A57" location="Template!U47" display="More" xr:uid="{48AFC5C0-02AB-4839-8F7F-7AE98E3B5F80}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CD00A1-15A2-4050-B727-46403723D3DF}">
          <x14:formula1>
            <xm:f>'Canada Provinces'!$A$2:$A$14</xm:f>
          </x14:formula1>
          <xm:sqref>C2</xm:sqref>
        </x14:dataValidation>
        <x14:dataValidation type="list" allowBlank="1" showInputMessage="1" showErrorMessage="1" xr:uid="{AA397B88-E80C-43D2-B22A-7248F47CDC6D}">
          <x14:formula1>
            <xm:f>'BC Cities'!$A$3:$A$60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686C-A5F3-4E46-97FE-5353C9F0ACF6}">
  <sheetPr codeName="Sheet2"/>
  <dimension ref="B1:K24"/>
  <sheetViews>
    <sheetView workbookViewId="0">
      <selection activeCell="I6" sqref="I6"/>
    </sheetView>
  </sheetViews>
  <sheetFormatPr defaultColWidth="8.77734375" defaultRowHeight="13.8" x14ac:dyDescent="0.25"/>
  <cols>
    <col min="1" max="1" width="8.77734375" style="5"/>
    <col min="2" max="2" width="26.109375" style="141" customWidth="1"/>
    <col min="3" max="3" width="13" style="4" customWidth="1"/>
    <col min="4" max="4" width="16.109375" style="18" customWidth="1"/>
    <col min="5" max="5" width="14" style="5" customWidth="1"/>
    <col min="6" max="6" width="4.21875" style="5" customWidth="1"/>
    <col min="7" max="7" width="22.21875" style="141" customWidth="1"/>
    <col min="8" max="8" width="14.6640625" style="4" customWidth="1"/>
    <col min="9" max="9" width="15.109375" style="4" customWidth="1"/>
    <col min="10" max="10" width="13.88671875" style="4" customWidth="1"/>
    <col min="11" max="11" width="18.44140625" style="5" customWidth="1"/>
    <col min="12" max="16384" width="8.77734375" style="5"/>
  </cols>
  <sheetData>
    <row r="1" spans="2:11" ht="14.4" thickBot="1" x14ac:dyDescent="0.3"/>
    <row r="2" spans="2:11" ht="15" thickTop="1" thickBot="1" x14ac:dyDescent="0.3">
      <c r="B2" s="142" t="str">
        <f>B5</f>
        <v>Task</v>
      </c>
      <c r="C2" s="143" t="str">
        <f>Result!G2</f>
        <v>Unit price</v>
      </c>
      <c r="D2" s="144" t="s">
        <v>364</v>
      </c>
      <c r="E2" s="145" t="s">
        <v>358</v>
      </c>
      <c r="G2" s="146" t="str">
        <f>C5</f>
        <v>Material cost</v>
      </c>
      <c r="H2" s="147" t="str">
        <f>D5</f>
        <v>Labour cost</v>
      </c>
      <c r="I2" s="148" t="str">
        <f>E5</f>
        <v>Total cost</v>
      </c>
      <c r="K2" s="145" t="s">
        <v>366</v>
      </c>
    </row>
    <row r="3" spans="2:11" ht="15" thickTop="1" thickBot="1" x14ac:dyDescent="0.3">
      <c r="B3" s="149" t="s">
        <v>38</v>
      </c>
      <c r="C3" s="150">
        <f>_xlfn.XLOOKUP(B3,Result!B3:B21,Result!G3:G21,"no match")</f>
        <v>1.553483269336259</v>
      </c>
      <c r="D3" s="151">
        <f>_xlfn.XLOOKUP(B3,Result!B3:B21,Result!F3:F21,"no match")</f>
        <v>2.8630642470808269E-2</v>
      </c>
      <c r="E3" s="187">
        <v>790</v>
      </c>
      <c r="F3" s="188"/>
      <c r="G3" s="152" cm="1">
        <f t="array" ref="G3:I3">_xlfn.XLOOKUP(B3,B6:B24,C6:E24,0)</f>
        <v>339.84404230207429</v>
      </c>
      <c r="H3" s="150">
        <v>875.37328066154419</v>
      </c>
      <c r="I3" s="153">
        <v>1215.2173229636185</v>
      </c>
      <c r="K3" s="189">
        <f>SUM(J6:J23)</f>
        <v>0</v>
      </c>
    </row>
    <row r="4" spans="2:11" x14ac:dyDescent="0.25">
      <c r="E4" s="186"/>
      <c r="G4" s="219" t="s">
        <v>367</v>
      </c>
      <c r="H4" s="219"/>
      <c r="I4" s="219"/>
      <c r="J4" s="219"/>
    </row>
    <row r="5" spans="2:11" ht="17.399999999999999" thickBot="1" x14ac:dyDescent="0.35">
      <c r="B5" s="3" t="s">
        <v>362</v>
      </c>
      <c r="C5" s="2" t="s">
        <v>89</v>
      </c>
      <c r="D5" s="154" t="s">
        <v>74</v>
      </c>
      <c r="E5" s="3" t="s">
        <v>365</v>
      </c>
      <c r="G5" s="3" t="str">
        <f>B5</f>
        <v>Task</v>
      </c>
      <c r="H5" s="2" t="str">
        <f>C5</f>
        <v>Material cost</v>
      </c>
      <c r="I5" s="155" t="str">
        <f>D5</f>
        <v>Labour cost</v>
      </c>
      <c r="J5" s="156" t="s">
        <v>368</v>
      </c>
    </row>
    <row r="6" spans="2:11" ht="14.4" thickTop="1" x14ac:dyDescent="0.25">
      <c r="B6" s="157" t="str">
        <f>[1]Template!H58</f>
        <v>Demolition</v>
      </c>
      <c r="C6" s="158">
        <f>E6*[1]Result!F5</f>
        <v>278.91240845498515</v>
      </c>
      <c r="D6" s="158">
        <f>E6-C6</f>
        <v>1158.5822832285144</v>
      </c>
      <c r="E6" s="158">
        <f>$E$24*[1]Result!I5</f>
        <v>1437.4946916834995</v>
      </c>
      <c r="F6" s="19"/>
      <c r="H6" s="58" cm="1">
        <f t="array" ref="H6">_xlfn.XLOOKUP(G6,$B$6:$B$24,$C$6:$E$24,0)</f>
        <v>0</v>
      </c>
      <c r="I6" s="58"/>
      <c r="J6" s="58"/>
    </row>
    <row r="7" spans="2:11" x14ac:dyDescent="0.25">
      <c r="B7" s="159" t="str">
        <f>[1]Template!H59</f>
        <v>Framing</v>
      </c>
      <c r="C7" s="160">
        <f>E7*[1]Result!F6</f>
        <v>2649.2387843093516</v>
      </c>
      <c r="D7" s="160">
        <f t="shared" ref="D7:D23" si="0">E7-C7</f>
        <v>1731.0077520532691</v>
      </c>
      <c r="E7" s="160">
        <f>$E$24*[1]Result!I6</f>
        <v>4380.2465363626206</v>
      </c>
      <c r="H7" s="58" cm="1">
        <f t="array" ref="H7">_xlfn.XLOOKUP(G7,$B$6:$B$24,$C$6:$E$24,0)</f>
        <v>0</v>
      </c>
      <c r="I7" s="58"/>
      <c r="J7" s="58"/>
    </row>
    <row r="8" spans="2:11" x14ac:dyDescent="0.25">
      <c r="B8" s="159" t="str">
        <f>[1]Template!H60</f>
        <v>Drywall, tape&amp;mudding</v>
      </c>
      <c r="C8" s="160">
        <f>E8*[1]Result!F7</f>
        <v>1611.6846248568065</v>
      </c>
      <c r="D8" s="160">
        <f t="shared" si="0"/>
        <v>1098.5076463203693</v>
      </c>
      <c r="E8" s="160">
        <f>$E$24*[1]Result!I7</f>
        <v>2710.1922711771758</v>
      </c>
      <c r="H8" s="58" cm="1">
        <f t="array" ref="H8">_xlfn.XLOOKUP(G8,$B$6:$B$24,$C$6:$E$24,0)</f>
        <v>0</v>
      </c>
      <c r="I8" s="58"/>
      <c r="J8" s="58"/>
    </row>
    <row r="9" spans="2:11" x14ac:dyDescent="0.25">
      <c r="B9" s="159" t="str">
        <f>[1]Template!H61</f>
        <v>Painting</v>
      </c>
      <c r="C9" s="160">
        <f>E9*[1]Result!F8</f>
        <v>339.84404230207429</v>
      </c>
      <c r="D9" s="160">
        <f t="shared" si="0"/>
        <v>875.37328066154419</v>
      </c>
      <c r="E9" s="160">
        <f>$E$24*[1]Result!I8</f>
        <v>1215.2173229636185</v>
      </c>
      <c r="H9" s="58" cm="1">
        <f t="array" ref="H9">_xlfn.XLOOKUP(G9,$B$6:$B$24,$C$6:$E$24,0)</f>
        <v>0</v>
      </c>
    </row>
    <row r="10" spans="2:11" x14ac:dyDescent="0.25">
      <c r="B10" s="159" t="str">
        <f>[1]Template!H62</f>
        <v>Finish Carpentry</v>
      </c>
      <c r="C10" s="160">
        <f>E10*[1]Result!F9</f>
        <v>1813.788846983419</v>
      </c>
      <c r="D10" s="160">
        <f t="shared" si="0"/>
        <v>1975.1682406299449</v>
      </c>
      <c r="E10" s="160">
        <f>$E$24*[1]Result!I9</f>
        <v>3788.9570876133639</v>
      </c>
      <c r="H10" s="58" cm="1">
        <f t="array" ref="H10">_xlfn.XLOOKUP(G10,$B$6:$B$24,$C$6:$E$24,0)</f>
        <v>0</v>
      </c>
    </row>
    <row r="11" spans="2:11" x14ac:dyDescent="0.25">
      <c r="B11" s="159" t="str">
        <f>[1]Template!H63</f>
        <v>Kitchen cabinet</v>
      </c>
      <c r="C11" s="160">
        <f>E11*[1]Result!F10</f>
        <v>5149.1521560920346</v>
      </c>
      <c r="D11" s="160">
        <f t="shared" si="0"/>
        <v>2814.9258436959453</v>
      </c>
      <c r="E11" s="160">
        <f>$E$24*[1]Result!I10</f>
        <v>7964.0779997879799</v>
      </c>
      <c r="H11" s="58" cm="1">
        <f t="array" ref="H11">_xlfn.XLOOKUP(G11,$B$6:$B$24,$C$6:$E$24,0)</f>
        <v>0</v>
      </c>
    </row>
    <row r="12" spans="2:11" x14ac:dyDescent="0.25">
      <c r="B12" s="159" t="str">
        <f>[1]Template!H64</f>
        <v>Bathroom</v>
      </c>
      <c r="C12" s="160">
        <f>E12*[1]Result!F11</f>
        <v>1080.4637607533118</v>
      </c>
      <c r="D12" s="160">
        <f t="shared" si="0"/>
        <v>1398.8808308610951</v>
      </c>
      <c r="E12" s="160">
        <f>$E$24*[1]Result!I11</f>
        <v>2479.3445916144069</v>
      </c>
      <c r="H12" s="58" cm="1">
        <f t="array" ref="H12">_xlfn.XLOOKUP(G12,$B$6:$B$24,$C$6:$E$24,0)</f>
        <v>0</v>
      </c>
    </row>
    <row r="13" spans="2:11" x14ac:dyDescent="0.25">
      <c r="B13" s="159" t="str">
        <f>[1]Template!H65</f>
        <v>Floorinng, tiling</v>
      </c>
      <c r="C13" s="160">
        <f>E13*[1]Result!F12</f>
        <v>2436.4071618575476</v>
      </c>
      <c r="D13" s="160">
        <f t="shared" si="0"/>
        <v>1501.8659227036296</v>
      </c>
      <c r="E13" s="160">
        <f>$E$24*[1]Result!I12</f>
        <v>3938.2730845611773</v>
      </c>
      <c r="H13" s="58" cm="1">
        <f t="array" ref="H13">_xlfn.XLOOKUP(G13,$B$6:$B$24,$C$6:$E$24,0)</f>
        <v>0</v>
      </c>
    </row>
    <row r="14" spans="2:11" x14ac:dyDescent="0.25">
      <c r="B14" s="159" t="str">
        <f>[1]Template!H66</f>
        <v>HVAC</v>
      </c>
      <c r="C14" s="160">
        <f>E14*[1]Result!F13</f>
        <v>150.1836045526843</v>
      </c>
      <c r="D14" s="160">
        <f t="shared" si="0"/>
        <v>1244.4031930972931</v>
      </c>
      <c r="E14" s="160">
        <f>$E$24*[1]Result!I13</f>
        <v>1394.5867976499774</v>
      </c>
      <c r="H14" s="58" cm="1">
        <f t="array" ref="H14">_xlfn.XLOOKUP(G14,$B$6:$B$24,$C$6:$E$24,0)</f>
        <v>0</v>
      </c>
    </row>
    <row r="15" spans="2:11" x14ac:dyDescent="0.25">
      <c r="B15" s="159" t="str">
        <f>[1]Template!H67</f>
        <v>Electriccal</v>
      </c>
      <c r="C15" s="160">
        <f>E15*[1]Result!F14</f>
        <v>262.60675996069369</v>
      </c>
      <c r="D15" s="160">
        <f t="shared" si="0"/>
        <v>1098.5076463203691</v>
      </c>
      <c r="E15" s="160">
        <f>$E$24*[1]Result!I14</f>
        <v>1361.1144062810629</v>
      </c>
      <c r="H15" s="58" cm="1">
        <f t="array" ref="H15">_xlfn.XLOOKUP(G15,$B$6:$B$24,$C$6:$E$24,0)</f>
        <v>0</v>
      </c>
    </row>
    <row r="16" spans="2:11" x14ac:dyDescent="0.25">
      <c r="B16" s="159" t="str">
        <f>[1]Template!H68</f>
        <v>Plumbing</v>
      </c>
      <c r="C16" s="160">
        <f>E16*[1]Result!F15</f>
        <v>166.48925304697576</v>
      </c>
      <c r="D16" s="160">
        <f t="shared" si="0"/>
        <v>1150.0001922416363</v>
      </c>
      <c r="E16" s="160">
        <f>$E$24*[1]Result!I15</f>
        <v>1316.4894452886122</v>
      </c>
      <c r="H16" s="58" cm="1">
        <f t="array" ref="H16">_xlfn.XLOOKUP(G16,$B$6:$B$24,$C$6:$E$24,0)</f>
        <v>0</v>
      </c>
    </row>
    <row r="17" spans="2:8" x14ac:dyDescent="0.25">
      <c r="B17" s="159" t="str">
        <f>[1]Template!H69</f>
        <v>Landscaping</v>
      </c>
      <c r="C17" s="160">
        <f>E17*[1]Result!F16</f>
        <v>858.19202601533902</v>
      </c>
      <c r="D17" s="160">
        <f t="shared" si="0"/>
        <v>1287.3136480316828</v>
      </c>
      <c r="E17" s="160">
        <f>$E$24*[1]Result!I16</f>
        <v>2145.5056740470218</v>
      </c>
      <c r="H17" s="58" cm="1">
        <f t="array" ref="H17">_xlfn.XLOOKUP(G17,$B$6:$B$24,$C$6:$E$24,0)</f>
        <v>0</v>
      </c>
    </row>
    <row r="18" spans="2:8" x14ac:dyDescent="0.25">
      <c r="B18" s="159" t="str">
        <f>[1]Template!H70</f>
        <v>Siding</v>
      </c>
      <c r="C18" s="160">
        <f>E18*[1]Result!F17</f>
        <v>1792.763142346043</v>
      </c>
      <c r="D18" s="160">
        <f t="shared" si="0"/>
        <v>1501.8659227036296</v>
      </c>
      <c r="E18" s="160">
        <f>$E$24*[1]Result!I17</f>
        <v>3294.6290650496726</v>
      </c>
      <c r="H18" s="58" cm="1">
        <f t="array" ref="H18">_xlfn.XLOOKUP(G18,$B$6:$B$24,$C$6:$E$24,0)</f>
        <v>0</v>
      </c>
    </row>
    <row r="19" spans="2:8" x14ac:dyDescent="0.25">
      <c r="B19" s="159" t="str">
        <f>[1]Template!H71</f>
        <v>Painting</v>
      </c>
      <c r="C19" s="160">
        <f>E19*[1]Result!F18</f>
        <v>214.54800650383476</v>
      </c>
      <c r="D19" s="160">
        <f t="shared" si="0"/>
        <v>514.9254592126731</v>
      </c>
      <c r="E19" s="160">
        <f>$E$24*[1]Result!I18</f>
        <v>729.4734657165078</v>
      </c>
      <c r="H19" s="58" cm="1">
        <f t="array" ref="H19">_xlfn.XLOOKUP(G19,$B$6:$B$24,$C$6:$E$24,0)</f>
        <v>0</v>
      </c>
    </row>
    <row r="20" spans="2:8" x14ac:dyDescent="0.25">
      <c r="B20" s="159" t="str">
        <f>[1]Template!H72</f>
        <v>Deck</v>
      </c>
      <c r="C20" s="160">
        <f>E20*[1]Result!F19</f>
        <v>858.19202601533902</v>
      </c>
      <c r="D20" s="160">
        <f t="shared" si="0"/>
        <v>643.65682401584149</v>
      </c>
      <c r="E20" s="160">
        <f>$E$24*[1]Result!I19</f>
        <v>1501.8488500311805</v>
      </c>
      <c r="H20" s="58" cm="1">
        <f t="array" ref="H20">_xlfn.XLOOKUP(G20,$B$6:$B$24,$C$6:$E$24,0)</f>
        <v>0</v>
      </c>
    </row>
    <row r="21" spans="2:8" x14ac:dyDescent="0.25">
      <c r="B21" s="159" t="str">
        <f>[1]Template!H73</f>
        <v>Fence</v>
      </c>
      <c r="C21" s="160">
        <f>E21*[1]Result!F20</f>
        <v>965.46602926725632</v>
      </c>
      <c r="D21" s="160">
        <f t="shared" si="0"/>
        <v>811.0075982599601</v>
      </c>
      <c r="E21" s="160">
        <f>$E$24*[1]Result!I20</f>
        <v>1776.4736275272164</v>
      </c>
      <c r="H21" s="58" cm="1">
        <f t="array" ref="H21">_xlfn.XLOOKUP(G21,$B$6:$B$24,$C$6:$E$24,0)</f>
        <v>0</v>
      </c>
    </row>
    <row r="22" spans="2:8" x14ac:dyDescent="0.25">
      <c r="B22" s="159" t="str">
        <f>[1]Template!H74</f>
        <v>Garage door</v>
      </c>
      <c r="C22" s="160">
        <f>E22*[1]Result!F21</f>
        <v>214.54800650383476</v>
      </c>
      <c r="D22" s="160">
        <f t="shared" si="0"/>
        <v>334.70154848823739</v>
      </c>
      <c r="E22" s="160">
        <f>$E$24*[1]Result!I21</f>
        <v>549.24955499207215</v>
      </c>
      <c r="H22" s="58" cm="1">
        <f t="array" ref="H22">_xlfn.XLOOKUP(G22,$B$6:$B$24,$C$6:$E$24,0)</f>
        <v>0</v>
      </c>
    </row>
    <row r="23" spans="2:8" ht="14.4" thickBot="1" x14ac:dyDescent="0.3">
      <c r="B23" s="161" t="str">
        <f>[1]Template!H75</f>
        <v>Roofing</v>
      </c>
      <c r="C23" s="162">
        <f>E23*[1]Result!F22</f>
        <v>452.69629372309134</v>
      </c>
      <c r="D23" s="162">
        <f t="shared" si="0"/>
        <v>429.10454934389418</v>
      </c>
      <c r="E23" s="162">
        <f>$E$24*[1]Result!I22</f>
        <v>881.80084306698552</v>
      </c>
      <c r="H23" s="58" cm="1">
        <f t="array" ref="H23">_xlfn.XLOOKUP(G23,$B$6:$B$24,$C$6:$E$24,0)</f>
        <v>0</v>
      </c>
    </row>
    <row r="24" spans="2:8" ht="14.4" thickTop="1" x14ac:dyDescent="0.25">
      <c r="B24" s="163" t="s">
        <v>7</v>
      </c>
      <c r="C24" s="164">
        <f>SUM(C6:C23)</f>
        <v>21295.176933544626</v>
      </c>
      <c r="D24" s="164">
        <f>SUM(D6:D23)</f>
        <v>21569.798381869528</v>
      </c>
      <c r="E24" s="164">
        <f>C3*E3/D3</f>
        <v>42864.975315414158</v>
      </c>
    </row>
  </sheetData>
  <mergeCells count="1">
    <mergeCell ref="G4:J4"/>
  </mergeCells>
  <dataValidations count="1">
    <dataValidation type="list" allowBlank="1" showInputMessage="1" showErrorMessage="1" sqref="G6:G23" xr:uid="{A6E7CFD2-2494-4643-8EF6-699475C3485F}">
      <formula1>$B$6:$B$23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E0BD5CC-28D3-4691-B4E6-43CD00CAA765}">
          <x14:formula1>
            <xm:f>Result!$B$3:$B$21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7A7E2-3240-4168-B36D-1EA9083D6DF5}">
  <sheetPr codeName="Sheet3"/>
  <dimension ref="A2:K60"/>
  <sheetViews>
    <sheetView workbookViewId="0">
      <selection activeCell="C22" sqref="C22"/>
    </sheetView>
  </sheetViews>
  <sheetFormatPr defaultColWidth="8.77734375" defaultRowHeight="13.8" x14ac:dyDescent="0.25"/>
  <cols>
    <col min="1" max="1" width="52.33203125" style="167" bestFit="1" customWidth="1"/>
    <col min="2" max="2" width="9.33203125" style="167" customWidth="1"/>
    <col min="3" max="9" width="13.77734375" style="167" customWidth="1"/>
    <col min="10" max="10" width="7" style="167" bestFit="1" customWidth="1"/>
    <col min="11" max="11" width="4.109375" style="167" bestFit="1" customWidth="1"/>
    <col min="12" max="16384" width="8.77734375" style="167"/>
  </cols>
  <sheetData>
    <row r="2" spans="1:11" s="165" customFormat="1" ht="41.4" x14ac:dyDescent="0.3">
      <c r="A2" s="165" t="s">
        <v>124</v>
      </c>
      <c r="B2" s="165" t="s">
        <v>125</v>
      </c>
      <c r="C2" s="165" t="s">
        <v>126</v>
      </c>
      <c r="D2" s="165" t="s">
        <v>127</v>
      </c>
      <c r="E2" s="165" t="s">
        <v>128</v>
      </c>
      <c r="F2" s="165" t="s">
        <v>129</v>
      </c>
      <c r="G2" s="165" t="s">
        <v>130</v>
      </c>
      <c r="H2" s="165" t="s">
        <v>131</v>
      </c>
      <c r="I2" s="165" t="s">
        <v>132</v>
      </c>
      <c r="J2" s="165" t="s">
        <v>133</v>
      </c>
      <c r="K2" s="165" t="s">
        <v>134</v>
      </c>
    </row>
    <row r="3" spans="1:11" x14ac:dyDescent="0.25">
      <c r="A3" s="166" t="s">
        <v>135</v>
      </c>
      <c r="B3" s="166" t="s">
        <v>95</v>
      </c>
      <c r="C3" s="166" t="s">
        <v>136</v>
      </c>
      <c r="D3" s="166" t="s">
        <v>137</v>
      </c>
      <c r="E3" s="166" t="s">
        <v>138</v>
      </c>
      <c r="F3" s="167">
        <v>129860</v>
      </c>
      <c r="G3" s="167">
        <v>138266</v>
      </c>
      <c r="H3" s="167">
        <v>151313</v>
      </c>
      <c r="I3" s="167">
        <v>158457</v>
      </c>
      <c r="J3" s="167">
        <v>37555</v>
      </c>
      <c r="K3" s="166" t="s">
        <v>139</v>
      </c>
    </row>
    <row r="4" spans="1:11" x14ac:dyDescent="0.25">
      <c r="A4" s="166" t="s">
        <v>140</v>
      </c>
      <c r="B4" s="166" t="s">
        <v>95</v>
      </c>
      <c r="C4" s="166" t="s">
        <v>141</v>
      </c>
      <c r="D4" s="166" t="s">
        <v>142</v>
      </c>
      <c r="E4" s="166" t="s">
        <v>143</v>
      </c>
      <c r="F4" s="167">
        <v>214302</v>
      </c>
      <c r="G4" s="167">
        <v>233545</v>
      </c>
      <c r="H4" s="167">
        <v>245827</v>
      </c>
      <c r="I4" s="167">
        <v>253007</v>
      </c>
      <c r="J4" s="167">
        <v>9061</v>
      </c>
      <c r="K4" s="166" t="s">
        <v>139</v>
      </c>
    </row>
    <row r="5" spans="1:11" x14ac:dyDescent="0.25">
      <c r="A5" s="166" t="s">
        <v>144</v>
      </c>
      <c r="B5" s="166" t="s">
        <v>95</v>
      </c>
      <c r="C5" s="166" t="s">
        <v>136</v>
      </c>
      <c r="D5" s="166" t="s">
        <v>145</v>
      </c>
      <c r="E5" s="166" t="s">
        <v>146</v>
      </c>
      <c r="F5" s="167">
        <v>30781</v>
      </c>
      <c r="G5" s="167">
        <v>31844</v>
      </c>
      <c r="H5" s="167">
        <v>34454</v>
      </c>
      <c r="I5" s="167">
        <v>35849</v>
      </c>
      <c r="J5" s="167">
        <v>14436</v>
      </c>
      <c r="K5" s="166" t="s">
        <v>139</v>
      </c>
    </row>
    <row r="6" spans="1:11" x14ac:dyDescent="0.25">
      <c r="A6" s="166" t="s">
        <v>147</v>
      </c>
      <c r="B6" s="166" t="s">
        <v>148</v>
      </c>
      <c r="C6" s="166" t="s">
        <v>149</v>
      </c>
      <c r="D6" s="166" t="s">
        <v>150</v>
      </c>
      <c r="E6" s="166" t="s">
        <v>151</v>
      </c>
      <c r="F6" s="167">
        <v>16153</v>
      </c>
      <c r="G6" s="167">
        <v>16352</v>
      </c>
      <c r="H6" s="167">
        <v>17722</v>
      </c>
      <c r="I6" s="167">
        <v>18089</v>
      </c>
      <c r="J6" s="167">
        <v>4133</v>
      </c>
      <c r="K6" s="166" t="s">
        <v>139</v>
      </c>
    </row>
    <row r="7" spans="1:11" x14ac:dyDescent="0.25">
      <c r="A7" s="166" t="s">
        <v>152</v>
      </c>
      <c r="B7" s="166" t="s">
        <v>95</v>
      </c>
      <c r="C7" s="166" t="s">
        <v>153</v>
      </c>
      <c r="D7" s="166" t="s">
        <v>154</v>
      </c>
      <c r="E7" s="166" t="s">
        <v>155</v>
      </c>
      <c r="F7" s="167">
        <v>73857</v>
      </c>
      <c r="G7" s="167">
        <v>80826</v>
      </c>
      <c r="H7" s="167">
        <v>89713</v>
      </c>
      <c r="I7" s="167">
        <v>94534</v>
      </c>
      <c r="J7" s="167">
        <v>26165</v>
      </c>
      <c r="K7" s="166" t="s">
        <v>139</v>
      </c>
    </row>
    <row r="8" spans="1:11" x14ac:dyDescent="0.25">
      <c r="A8" s="166" t="s">
        <v>156</v>
      </c>
      <c r="B8" s="166" t="s">
        <v>148</v>
      </c>
      <c r="C8" s="166" t="s">
        <v>157</v>
      </c>
      <c r="D8" s="166" t="s">
        <v>158</v>
      </c>
      <c r="E8" s="166" t="s">
        <v>159</v>
      </c>
      <c r="F8" s="167">
        <v>9883</v>
      </c>
      <c r="G8" s="167">
        <v>10638</v>
      </c>
      <c r="H8" s="167">
        <v>11277</v>
      </c>
      <c r="I8" s="167">
        <v>11383</v>
      </c>
      <c r="J8" s="167">
        <v>6660</v>
      </c>
      <c r="K8" s="166" t="s">
        <v>139</v>
      </c>
    </row>
    <row r="9" spans="1:11" x14ac:dyDescent="0.25">
      <c r="A9" s="166" t="s">
        <v>160</v>
      </c>
      <c r="B9" s="166" t="s">
        <v>95</v>
      </c>
      <c r="C9" s="166" t="s">
        <v>136</v>
      </c>
      <c r="D9" s="166" t="s">
        <v>161</v>
      </c>
      <c r="E9" s="166" t="s">
        <v>162</v>
      </c>
      <c r="F9" s="167">
        <v>15448</v>
      </c>
      <c r="G9" s="167">
        <v>16648</v>
      </c>
      <c r="H9" s="167">
        <v>17941</v>
      </c>
      <c r="I9" s="167">
        <v>18867</v>
      </c>
      <c r="J9" s="167">
        <v>1767</v>
      </c>
      <c r="K9" s="166" t="s">
        <v>139</v>
      </c>
    </row>
    <row r="10" spans="1:11" x14ac:dyDescent="0.25">
      <c r="A10" s="166" t="s">
        <v>163</v>
      </c>
      <c r="B10" s="166" t="s">
        <v>164</v>
      </c>
      <c r="C10" s="166" t="s">
        <v>165</v>
      </c>
      <c r="D10" s="166" t="s">
        <v>166</v>
      </c>
      <c r="E10" s="166" t="s">
        <v>167</v>
      </c>
      <c r="F10" s="167">
        <v>12884</v>
      </c>
      <c r="G10" s="167">
        <v>14116</v>
      </c>
      <c r="H10" s="167">
        <v>14679</v>
      </c>
      <c r="I10" s="167">
        <v>14981</v>
      </c>
      <c r="J10" s="167">
        <v>1674</v>
      </c>
      <c r="K10" s="166" t="s">
        <v>139</v>
      </c>
    </row>
    <row r="11" spans="1:11" x14ac:dyDescent="0.25">
      <c r="A11" s="166" t="s">
        <v>168</v>
      </c>
      <c r="B11" s="166" t="s">
        <v>95</v>
      </c>
      <c r="C11" s="166" t="s">
        <v>169</v>
      </c>
      <c r="D11" s="166" t="s">
        <v>170</v>
      </c>
      <c r="E11" s="166" t="s">
        <v>171</v>
      </c>
      <c r="F11" s="167">
        <v>119028</v>
      </c>
      <c r="G11" s="167">
        <v>133916</v>
      </c>
      <c r="H11" s="167">
        <v>147764</v>
      </c>
      <c r="I11" s="167">
        <v>149894</v>
      </c>
      <c r="J11" s="167">
        <v>12230</v>
      </c>
      <c r="K11" s="166" t="s">
        <v>139</v>
      </c>
    </row>
    <row r="12" spans="1:11" x14ac:dyDescent="0.25">
      <c r="A12" s="166" t="s">
        <v>172</v>
      </c>
      <c r="B12" s="166" t="s">
        <v>95</v>
      </c>
      <c r="C12" s="166" t="s">
        <v>136</v>
      </c>
      <c r="D12" s="166" t="s">
        <v>136</v>
      </c>
      <c r="E12" s="166" t="s">
        <v>173</v>
      </c>
      <c r="F12" s="167">
        <v>23399</v>
      </c>
      <c r="G12" s="167">
        <v>24551</v>
      </c>
      <c r="H12" s="167">
        <v>27031</v>
      </c>
      <c r="I12" s="167">
        <v>28216</v>
      </c>
      <c r="J12" s="167">
        <v>3241</v>
      </c>
      <c r="K12" s="166" t="s">
        <v>139</v>
      </c>
    </row>
    <row r="13" spans="1:11" x14ac:dyDescent="0.25">
      <c r="A13" s="166" t="s">
        <v>174</v>
      </c>
      <c r="B13" s="166" t="s">
        <v>95</v>
      </c>
      <c r="C13" s="166" t="s">
        <v>175</v>
      </c>
      <c r="D13" s="166" t="s">
        <v>176</v>
      </c>
      <c r="E13" s="166" t="s">
        <v>177</v>
      </c>
      <c r="F13" s="167">
        <v>19141</v>
      </c>
      <c r="G13" s="167">
        <v>19886</v>
      </c>
      <c r="H13" s="167">
        <v>20908</v>
      </c>
      <c r="I13" s="167">
        <v>21247</v>
      </c>
      <c r="J13" s="167">
        <v>3200</v>
      </c>
      <c r="K13" s="166" t="s">
        <v>139</v>
      </c>
    </row>
    <row r="14" spans="1:11" x14ac:dyDescent="0.25">
      <c r="A14" s="166" t="s">
        <v>178</v>
      </c>
      <c r="B14" s="166" t="s">
        <v>95</v>
      </c>
      <c r="C14" s="166" t="s">
        <v>179</v>
      </c>
      <c r="D14" s="166" t="s">
        <v>180</v>
      </c>
      <c r="E14" s="166" t="s">
        <v>181</v>
      </c>
      <c r="F14" s="167">
        <v>11582</v>
      </c>
      <c r="G14" s="167">
        <v>11993</v>
      </c>
      <c r="H14" s="167">
        <v>12928</v>
      </c>
      <c r="I14" s="167">
        <v>12981</v>
      </c>
      <c r="J14" s="167">
        <v>2437</v>
      </c>
      <c r="K14" s="166" t="s">
        <v>139</v>
      </c>
    </row>
    <row r="15" spans="1:11" x14ac:dyDescent="0.25">
      <c r="A15" s="166" t="s">
        <v>182</v>
      </c>
      <c r="B15" s="166" t="s">
        <v>95</v>
      </c>
      <c r="C15" s="166" t="s">
        <v>183</v>
      </c>
      <c r="D15" s="166" t="s">
        <v>184</v>
      </c>
      <c r="E15" s="166" t="s">
        <v>185</v>
      </c>
      <c r="F15" s="167">
        <v>99230</v>
      </c>
      <c r="G15" s="167">
        <v>102583</v>
      </c>
      <c r="H15" s="167">
        <v>107171</v>
      </c>
      <c r="I15" s="167">
        <v>109490</v>
      </c>
      <c r="J15" s="167">
        <v>18020</v>
      </c>
      <c r="K15" s="166" t="s">
        <v>139</v>
      </c>
    </row>
    <row r="16" spans="1:11" x14ac:dyDescent="0.25">
      <c r="A16" s="166" t="s">
        <v>186</v>
      </c>
      <c r="B16" s="166" t="s">
        <v>148</v>
      </c>
      <c r="C16" s="166" t="s">
        <v>187</v>
      </c>
      <c r="D16" s="166" t="s">
        <v>188</v>
      </c>
      <c r="E16" s="166" t="s">
        <v>189</v>
      </c>
      <c r="F16" s="167">
        <v>17361</v>
      </c>
      <c r="G16" s="167">
        <v>17240</v>
      </c>
      <c r="H16" s="167">
        <v>18469</v>
      </c>
      <c r="I16" s="167">
        <v>18716</v>
      </c>
      <c r="J16" s="167">
        <v>708</v>
      </c>
      <c r="K16" s="166" t="s">
        <v>139</v>
      </c>
    </row>
    <row r="17" spans="1:11" x14ac:dyDescent="0.25">
      <c r="A17" s="166" t="s">
        <v>190</v>
      </c>
      <c r="B17" s="166" t="s">
        <v>95</v>
      </c>
      <c r="C17" s="166" t="s">
        <v>191</v>
      </c>
      <c r="D17" s="166" t="s">
        <v>192</v>
      </c>
      <c r="E17" s="166" t="s">
        <v>193</v>
      </c>
      <c r="F17" s="167">
        <v>18488</v>
      </c>
      <c r="G17" s="167">
        <v>20085</v>
      </c>
      <c r="H17" s="167">
        <v>21307</v>
      </c>
      <c r="I17" s="167">
        <v>21976</v>
      </c>
      <c r="J17" s="167">
        <v>2627</v>
      </c>
      <c r="K17" s="166" t="s">
        <v>139</v>
      </c>
    </row>
    <row r="18" spans="1:11" x14ac:dyDescent="0.25">
      <c r="A18" s="166" t="s">
        <v>194</v>
      </c>
      <c r="B18" s="166" t="s">
        <v>95</v>
      </c>
      <c r="C18" s="166" t="s">
        <v>195</v>
      </c>
      <c r="D18" s="166" t="s">
        <v>196</v>
      </c>
      <c r="E18" s="166" t="s">
        <v>197</v>
      </c>
      <c r="F18" s="167">
        <v>84563</v>
      </c>
      <c r="G18" s="167">
        <v>88523</v>
      </c>
      <c r="H18" s="167">
        <v>95963</v>
      </c>
      <c r="I18" s="167">
        <v>100046</v>
      </c>
      <c r="J18" s="167">
        <v>29925</v>
      </c>
      <c r="K18" s="166" t="s">
        <v>139</v>
      </c>
    </row>
    <row r="19" spans="1:11" x14ac:dyDescent="0.25">
      <c r="A19" s="166" t="s">
        <v>198</v>
      </c>
      <c r="B19" s="166" t="s">
        <v>95</v>
      </c>
      <c r="C19" s="166" t="s">
        <v>199</v>
      </c>
      <c r="D19" s="166" t="s">
        <v>200</v>
      </c>
      <c r="E19" s="166" t="s">
        <v>201</v>
      </c>
      <c r="F19" s="167">
        <v>112911</v>
      </c>
      <c r="G19" s="167">
        <v>121710</v>
      </c>
      <c r="H19" s="167">
        <v>136123</v>
      </c>
      <c r="I19" s="167">
        <v>142146</v>
      </c>
      <c r="J19" s="167">
        <v>21185</v>
      </c>
      <c r="K19" s="166" t="s">
        <v>139</v>
      </c>
    </row>
    <row r="20" spans="1:11" x14ac:dyDescent="0.25">
      <c r="A20" s="166" t="s">
        <v>202</v>
      </c>
      <c r="B20" s="166" t="s">
        <v>148</v>
      </c>
      <c r="C20" s="166" t="s">
        <v>136</v>
      </c>
      <c r="D20" s="166" t="s">
        <v>203</v>
      </c>
      <c r="E20" s="166" t="s">
        <v>204</v>
      </c>
      <c r="F20" s="167">
        <v>10165</v>
      </c>
      <c r="G20" s="167">
        <v>12238</v>
      </c>
      <c r="H20" s="167">
        <v>14211</v>
      </c>
      <c r="I20" s="167">
        <v>15143</v>
      </c>
      <c r="J20" s="167">
        <v>12219</v>
      </c>
      <c r="K20" s="166" t="s">
        <v>139</v>
      </c>
    </row>
    <row r="21" spans="1:11" x14ac:dyDescent="0.25">
      <c r="A21" s="166" t="s">
        <v>205</v>
      </c>
      <c r="B21" s="166" t="s">
        <v>95</v>
      </c>
      <c r="C21" s="166" t="s">
        <v>136</v>
      </c>
      <c r="D21" s="166" t="s">
        <v>206</v>
      </c>
      <c r="E21" s="166" t="s">
        <v>207</v>
      </c>
      <c r="F21" s="167">
        <v>24625</v>
      </c>
      <c r="G21" s="167">
        <v>31709</v>
      </c>
      <c r="H21" s="167">
        <v>39002</v>
      </c>
      <c r="I21" s="167">
        <v>42653</v>
      </c>
      <c r="J21" s="167">
        <v>3994</v>
      </c>
      <c r="K21" s="166" t="s">
        <v>139</v>
      </c>
    </row>
    <row r="22" spans="1:11" x14ac:dyDescent="0.25">
      <c r="A22" s="166" t="s">
        <v>208</v>
      </c>
      <c r="B22" s="166" t="s">
        <v>95</v>
      </c>
      <c r="C22" s="166" t="s">
        <v>136</v>
      </c>
      <c r="D22" s="166" t="s">
        <v>209</v>
      </c>
      <c r="E22" s="166" t="s">
        <v>210</v>
      </c>
      <c r="F22" s="167">
        <v>122778</v>
      </c>
      <c r="G22" s="167">
        <v>135589</v>
      </c>
      <c r="H22" s="167">
        <v>153465</v>
      </c>
      <c r="I22" s="167">
        <v>158642</v>
      </c>
      <c r="J22" s="167">
        <v>31825</v>
      </c>
      <c r="K22" s="166"/>
    </row>
    <row r="23" spans="1:11" x14ac:dyDescent="0.25">
      <c r="A23" s="166" t="s">
        <v>211</v>
      </c>
      <c r="B23" s="166" t="s">
        <v>148</v>
      </c>
      <c r="C23" s="166" t="s">
        <v>212</v>
      </c>
      <c r="D23" s="166" t="s">
        <v>213</v>
      </c>
      <c r="E23" s="166" t="s">
        <v>214</v>
      </c>
      <c r="F23" s="167">
        <v>72038</v>
      </c>
      <c r="G23" s="167">
        <v>79043</v>
      </c>
      <c r="H23" s="167">
        <v>88437</v>
      </c>
      <c r="I23" s="167">
        <v>91222</v>
      </c>
      <c r="J23" s="167">
        <v>26678</v>
      </c>
      <c r="K23" s="166" t="s">
        <v>139</v>
      </c>
    </row>
    <row r="24" spans="1:11" x14ac:dyDescent="0.25">
      <c r="A24" s="166" t="s">
        <v>215</v>
      </c>
      <c r="B24" s="166" t="s">
        <v>148</v>
      </c>
      <c r="C24" s="166" t="s">
        <v>216</v>
      </c>
      <c r="D24" s="166" t="s">
        <v>217</v>
      </c>
      <c r="E24" s="166" t="s">
        <v>218</v>
      </c>
      <c r="F24" s="167">
        <v>35842</v>
      </c>
      <c r="G24" s="167">
        <v>38061</v>
      </c>
      <c r="H24" s="167">
        <v>41727</v>
      </c>
      <c r="I24" s="167">
        <v>43202</v>
      </c>
      <c r="J24" s="167">
        <v>22765</v>
      </c>
      <c r="K24" s="166" t="s">
        <v>139</v>
      </c>
    </row>
    <row r="25" spans="1:11" x14ac:dyDescent="0.25">
      <c r="A25" s="166" t="s">
        <v>219</v>
      </c>
      <c r="B25" s="166" t="s">
        <v>95</v>
      </c>
      <c r="C25" s="166" t="s">
        <v>220</v>
      </c>
      <c r="D25" s="166" t="s">
        <v>221</v>
      </c>
      <c r="E25" s="166" t="s">
        <v>222</v>
      </c>
      <c r="F25" s="167">
        <v>81887</v>
      </c>
      <c r="G25" s="167">
        <v>86780</v>
      </c>
      <c r="H25" s="167">
        <v>96271</v>
      </c>
      <c r="I25" s="167">
        <v>99856</v>
      </c>
      <c r="J25" s="167">
        <v>9076</v>
      </c>
      <c r="K25" s="166" t="s">
        <v>139</v>
      </c>
    </row>
    <row r="26" spans="1:11" x14ac:dyDescent="0.25">
      <c r="A26" s="166" t="s">
        <v>223</v>
      </c>
      <c r="B26" s="166" t="s">
        <v>95</v>
      </c>
      <c r="C26" s="166" t="s">
        <v>224</v>
      </c>
      <c r="D26" s="166" t="s">
        <v>225</v>
      </c>
      <c r="E26" s="166" t="s">
        <v>226</v>
      </c>
      <c r="F26" s="167">
        <v>9739</v>
      </c>
      <c r="G26" s="167">
        <v>10414</v>
      </c>
      <c r="H26" s="167">
        <v>11127</v>
      </c>
      <c r="I26" s="167">
        <v>11359</v>
      </c>
      <c r="J26" s="167">
        <v>1195</v>
      </c>
      <c r="K26" s="166" t="s">
        <v>139</v>
      </c>
    </row>
    <row r="27" spans="1:11" x14ac:dyDescent="0.25">
      <c r="A27" s="166" t="s">
        <v>227</v>
      </c>
      <c r="B27" s="166" t="s">
        <v>95</v>
      </c>
      <c r="C27" s="166" t="s">
        <v>228</v>
      </c>
      <c r="D27" s="166" t="s">
        <v>229</v>
      </c>
      <c r="E27" s="166" t="s">
        <v>230</v>
      </c>
      <c r="F27" s="167">
        <v>61927</v>
      </c>
      <c r="G27" s="167">
        <v>69549</v>
      </c>
      <c r="H27" s="167">
        <v>76168</v>
      </c>
      <c r="I27" s="167">
        <v>79737</v>
      </c>
      <c r="J27" s="167">
        <v>1563</v>
      </c>
      <c r="K27" s="166" t="s">
        <v>139</v>
      </c>
    </row>
    <row r="28" spans="1:11" x14ac:dyDescent="0.25">
      <c r="A28" s="166" t="s">
        <v>231</v>
      </c>
      <c r="B28" s="166" t="s">
        <v>148</v>
      </c>
      <c r="C28" s="166" t="s">
        <v>232</v>
      </c>
      <c r="D28" s="166" t="s">
        <v>233</v>
      </c>
      <c r="E28" s="166" t="s">
        <v>234</v>
      </c>
      <c r="F28" s="167">
        <v>28505</v>
      </c>
      <c r="G28" s="167">
        <v>29324</v>
      </c>
      <c r="H28" s="167">
        <v>31236</v>
      </c>
      <c r="I28" s="167">
        <v>32120</v>
      </c>
      <c r="J28" s="167">
        <v>19556</v>
      </c>
      <c r="K28" s="166" t="s">
        <v>139</v>
      </c>
    </row>
    <row r="29" spans="1:11" x14ac:dyDescent="0.25">
      <c r="A29" s="166" t="s">
        <v>235</v>
      </c>
      <c r="B29" s="166" t="s">
        <v>148</v>
      </c>
      <c r="C29" s="166" t="s">
        <v>236</v>
      </c>
      <c r="D29" s="166" t="s">
        <v>237</v>
      </c>
      <c r="E29" s="166" t="s">
        <v>238</v>
      </c>
      <c r="F29" s="167">
        <v>10957</v>
      </c>
      <c r="G29" s="167">
        <v>11276</v>
      </c>
      <c r="H29" s="167">
        <v>11618</v>
      </c>
      <c r="I29" s="167">
        <v>11876</v>
      </c>
      <c r="J29" s="167">
        <v>3727</v>
      </c>
      <c r="K29" s="166" t="s">
        <v>139</v>
      </c>
    </row>
    <row r="30" spans="1:11" x14ac:dyDescent="0.25">
      <c r="A30" s="166" t="s">
        <v>239</v>
      </c>
      <c r="B30" s="166" t="s">
        <v>95</v>
      </c>
      <c r="C30" s="166" t="s">
        <v>136</v>
      </c>
      <c r="D30" s="166" t="s">
        <v>240</v>
      </c>
      <c r="E30" s="166" t="s">
        <v>241</v>
      </c>
      <c r="F30" s="167">
        <v>131245</v>
      </c>
      <c r="G30" s="167">
        <v>136896</v>
      </c>
      <c r="H30" s="167">
        <v>145529</v>
      </c>
      <c r="I30" s="167">
        <v>147088</v>
      </c>
      <c r="J30" s="167">
        <v>17261</v>
      </c>
      <c r="K30" s="166"/>
    </row>
    <row r="31" spans="1:11" x14ac:dyDescent="0.25">
      <c r="A31" s="166" t="s">
        <v>242</v>
      </c>
      <c r="B31" s="166" t="s">
        <v>148</v>
      </c>
      <c r="C31" s="166" t="s">
        <v>243</v>
      </c>
      <c r="D31" s="166" t="s">
        <v>244</v>
      </c>
      <c r="E31" s="166" t="s">
        <v>245</v>
      </c>
      <c r="F31" s="167">
        <v>18380</v>
      </c>
      <c r="G31" s="167">
        <v>18375</v>
      </c>
      <c r="H31" s="167">
        <v>18466</v>
      </c>
      <c r="I31" s="167">
        <v>18568</v>
      </c>
      <c r="J31" s="167">
        <v>1053</v>
      </c>
      <c r="K31" s="166" t="s">
        <v>139</v>
      </c>
    </row>
    <row r="32" spans="1:11" x14ac:dyDescent="0.25">
      <c r="A32" s="166" t="s">
        <v>246</v>
      </c>
      <c r="B32" s="166" t="s">
        <v>95</v>
      </c>
      <c r="C32" s="166" t="s">
        <v>247</v>
      </c>
      <c r="D32" s="166" t="s">
        <v>248</v>
      </c>
      <c r="E32" s="166" t="s">
        <v>249</v>
      </c>
      <c r="F32" s="167">
        <v>11471</v>
      </c>
      <c r="G32" s="167">
        <v>12207</v>
      </c>
      <c r="H32" s="167">
        <v>13061</v>
      </c>
      <c r="I32" s="167">
        <v>13420</v>
      </c>
      <c r="J32" s="167">
        <v>1456</v>
      </c>
      <c r="K32" s="166" t="s">
        <v>139</v>
      </c>
    </row>
    <row r="33" spans="1:11" x14ac:dyDescent="0.25">
      <c r="A33" s="166" t="s">
        <v>250</v>
      </c>
      <c r="B33" s="166" t="s">
        <v>95</v>
      </c>
      <c r="C33" s="166" t="s">
        <v>251</v>
      </c>
      <c r="D33" s="166" t="s">
        <v>252</v>
      </c>
      <c r="E33" s="166" t="s">
        <v>253</v>
      </c>
      <c r="F33" s="167">
        <v>32810</v>
      </c>
      <c r="G33" s="167">
        <v>33140</v>
      </c>
      <c r="H33" s="167">
        <v>35361</v>
      </c>
      <c r="I33" s="167">
        <v>36425</v>
      </c>
      <c r="J33" s="167">
        <v>4210</v>
      </c>
      <c r="K33" s="166" t="s">
        <v>139</v>
      </c>
    </row>
    <row r="34" spans="1:11" x14ac:dyDescent="0.25">
      <c r="A34" s="166" t="s">
        <v>254</v>
      </c>
      <c r="B34" s="166" t="s">
        <v>95</v>
      </c>
      <c r="C34" s="166" t="s">
        <v>255</v>
      </c>
      <c r="D34" s="166" t="s">
        <v>256</v>
      </c>
      <c r="E34" s="166" t="s">
        <v>257</v>
      </c>
      <c r="F34" s="167">
        <v>16483</v>
      </c>
      <c r="G34" s="167">
        <v>18396</v>
      </c>
      <c r="H34" s="167">
        <v>19741</v>
      </c>
      <c r="I34" s="167">
        <v>19728</v>
      </c>
      <c r="J34" s="167">
        <v>8651</v>
      </c>
      <c r="K34" s="166" t="s">
        <v>139</v>
      </c>
    </row>
    <row r="35" spans="1:11" x14ac:dyDescent="0.25">
      <c r="A35" s="166" t="s">
        <v>258</v>
      </c>
      <c r="B35" s="166" t="s">
        <v>95</v>
      </c>
      <c r="C35" s="166" t="s">
        <v>259</v>
      </c>
      <c r="D35" s="166" t="s">
        <v>260</v>
      </c>
      <c r="E35" s="166" t="s">
        <v>261</v>
      </c>
      <c r="F35" s="167">
        <v>18028</v>
      </c>
      <c r="G35" s="167">
        <v>17928</v>
      </c>
      <c r="H35" s="167">
        <v>18465</v>
      </c>
      <c r="I35" s="167">
        <v>18751</v>
      </c>
      <c r="J35" s="167">
        <v>1976</v>
      </c>
      <c r="K35" s="166" t="s">
        <v>139</v>
      </c>
    </row>
    <row r="36" spans="1:11" x14ac:dyDescent="0.25">
      <c r="A36" s="166" t="s">
        <v>262</v>
      </c>
      <c r="B36" s="166" t="s">
        <v>95</v>
      </c>
      <c r="C36" s="166" t="s">
        <v>263</v>
      </c>
      <c r="D36" s="166" t="s">
        <v>264</v>
      </c>
      <c r="E36" s="166" t="s">
        <v>265</v>
      </c>
      <c r="F36" s="167">
        <v>54233</v>
      </c>
      <c r="G36" s="167">
        <v>57736</v>
      </c>
      <c r="H36" s="167">
        <v>61853</v>
      </c>
      <c r="I36" s="167">
        <v>63305</v>
      </c>
      <c r="J36" s="167">
        <v>2917</v>
      </c>
      <c r="K36" s="166" t="s">
        <v>139</v>
      </c>
    </row>
    <row r="37" spans="1:11" x14ac:dyDescent="0.25">
      <c r="A37" s="166" t="s">
        <v>266</v>
      </c>
      <c r="B37" s="166" t="s">
        <v>95</v>
      </c>
      <c r="C37" s="166" t="s">
        <v>267</v>
      </c>
      <c r="D37" s="166" t="s">
        <v>268</v>
      </c>
      <c r="E37" s="166" t="s">
        <v>269</v>
      </c>
      <c r="F37" s="167">
        <v>29758</v>
      </c>
      <c r="G37" s="167">
        <v>34169</v>
      </c>
      <c r="H37" s="167">
        <v>34917</v>
      </c>
      <c r="I37" s="167">
        <v>35052</v>
      </c>
      <c r="J37" s="167">
        <v>2589</v>
      </c>
      <c r="K37" s="166" t="s">
        <v>139</v>
      </c>
    </row>
    <row r="38" spans="1:11" x14ac:dyDescent="0.25">
      <c r="A38" s="166" t="s">
        <v>270</v>
      </c>
      <c r="B38" s="166" t="s">
        <v>95</v>
      </c>
      <c r="C38" s="166" t="s">
        <v>271</v>
      </c>
      <c r="D38" s="166" t="s">
        <v>272</v>
      </c>
      <c r="E38" s="166" t="s">
        <v>273</v>
      </c>
      <c r="F38" s="167">
        <v>13441</v>
      </c>
      <c r="G38" s="167">
        <v>13325</v>
      </c>
      <c r="H38" s="167">
        <v>13692</v>
      </c>
      <c r="I38" s="167">
        <v>13829</v>
      </c>
      <c r="J38" s="167">
        <v>2891</v>
      </c>
      <c r="K38" s="166" t="s">
        <v>139</v>
      </c>
    </row>
    <row r="39" spans="1:11" x14ac:dyDescent="0.25">
      <c r="A39" s="166" t="s">
        <v>274</v>
      </c>
      <c r="B39" s="166" t="s">
        <v>95</v>
      </c>
      <c r="C39" s="166" t="s">
        <v>275</v>
      </c>
      <c r="D39" s="166" t="s">
        <v>276</v>
      </c>
      <c r="E39" s="166" t="s">
        <v>277</v>
      </c>
      <c r="F39" s="167">
        <v>73713</v>
      </c>
      <c r="G39" s="167">
        <v>74259</v>
      </c>
      <c r="H39" s="167">
        <v>78621</v>
      </c>
      <c r="I39" s="167">
        <v>81345</v>
      </c>
      <c r="J39" s="167">
        <v>31826</v>
      </c>
      <c r="K39" s="166" t="s">
        <v>139</v>
      </c>
    </row>
    <row r="40" spans="1:11" x14ac:dyDescent="0.25">
      <c r="A40" s="166" t="s">
        <v>278</v>
      </c>
      <c r="B40" s="166" t="s">
        <v>95</v>
      </c>
      <c r="C40" s="166" t="s">
        <v>279</v>
      </c>
      <c r="D40" s="166" t="s">
        <v>280</v>
      </c>
      <c r="E40" s="166" t="s">
        <v>281</v>
      </c>
      <c r="F40" s="167">
        <v>13040</v>
      </c>
      <c r="G40" s="167">
        <v>12755</v>
      </c>
      <c r="H40" s="167">
        <v>12899</v>
      </c>
      <c r="I40" s="167">
        <v>13054</v>
      </c>
      <c r="J40" s="167">
        <v>6628</v>
      </c>
      <c r="K40" s="166" t="s">
        <v>139</v>
      </c>
    </row>
    <row r="41" spans="1:11" x14ac:dyDescent="0.25">
      <c r="A41" s="166" t="s">
        <v>282</v>
      </c>
      <c r="B41" s="166" t="s">
        <v>95</v>
      </c>
      <c r="C41" s="166" t="s">
        <v>283</v>
      </c>
      <c r="D41" s="166" t="s">
        <v>284</v>
      </c>
      <c r="E41" s="166" t="s">
        <v>285</v>
      </c>
      <c r="F41" s="167">
        <v>9732</v>
      </c>
      <c r="G41" s="167">
        <v>10137</v>
      </c>
      <c r="H41" s="167">
        <v>10273</v>
      </c>
      <c r="I41" s="167">
        <v>10392</v>
      </c>
      <c r="J41" s="167">
        <v>3539</v>
      </c>
      <c r="K41" s="166" t="s">
        <v>139</v>
      </c>
    </row>
    <row r="42" spans="1:11" x14ac:dyDescent="0.25">
      <c r="A42" s="166" t="s">
        <v>286</v>
      </c>
      <c r="B42" s="166" t="s">
        <v>95</v>
      </c>
      <c r="C42" s="166" t="s">
        <v>287</v>
      </c>
      <c r="D42" s="166" t="s">
        <v>288</v>
      </c>
      <c r="E42" s="166" t="s">
        <v>289</v>
      </c>
      <c r="F42" s="167">
        <v>183521</v>
      </c>
      <c r="G42" s="167">
        <v>196738</v>
      </c>
      <c r="H42" s="167">
        <v>208182</v>
      </c>
      <c r="I42" s="167">
        <v>212276</v>
      </c>
      <c r="J42" s="167">
        <v>12927</v>
      </c>
      <c r="K42" s="166" t="s">
        <v>139</v>
      </c>
    </row>
    <row r="43" spans="1:11" x14ac:dyDescent="0.25">
      <c r="A43" s="166" t="s">
        <v>290</v>
      </c>
      <c r="B43" s="166" t="s">
        <v>148</v>
      </c>
      <c r="C43" s="166" t="s">
        <v>291</v>
      </c>
      <c r="D43" s="166" t="s">
        <v>292</v>
      </c>
      <c r="E43" s="166" t="s">
        <v>293</v>
      </c>
      <c r="F43" s="167">
        <v>111085</v>
      </c>
      <c r="G43" s="167">
        <v>113142</v>
      </c>
      <c r="H43" s="167">
        <v>120258</v>
      </c>
      <c r="I43" s="167">
        <v>122173</v>
      </c>
      <c r="J43" s="167">
        <v>10378</v>
      </c>
      <c r="K43" s="166" t="s">
        <v>139</v>
      </c>
    </row>
    <row r="44" spans="1:11" x14ac:dyDescent="0.25">
      <c r="A44" s="166" t="s">
        <v>294</v>
      </c>
      <c r="B44" s="166" t="s">
        <v>95</v>
      </c>
      <c r="C44" s="166" t="s">
        <v>295</v>
      </c>
      <c r="D44" s="166" t="s">
        <v>296</v>
      </c>
      <c r="E44" s="166" t="s">
        <v>297</v>
      </c>
      <c r="F44" s="167">
        <v>16923</v>
      </c>
      <c r="G44" s="167">
        <v>17582</v>
      </c>
      <c r="H44" s="167">
        <v>18805</v>
      </c>
      <c r="I44" s="167">
        <v>19115</v>
      </c>
      <c r="J44" s="167">
        <v>15528</v>
      </c>
      <c r="K44" s="166" t="s">
        <v>139</v>
      </c>
    </row>
    <row r="45" spans="1:11" x14ac:dyDescent="0.25">
      <c r="A45" s="166" t="s">
        <v>298</v>
      </c>
      <c r="B45" s="166" t="s">
        <v>148</v>
      </c>
      <c r="C45" s="166" t="s">
        <v>136</v>
      </c>
      <c r="D45" s="166" t="s">
        <v>299</v>
      </c>
      <c r="E45" s="166" t="s">
        <v>300</v>
      </c>
      <c r="F45" s="167">
        <v>8815</v>
      </c>
      <c r="G45" s="167">
        <v>9570</v>
      </c>
      <c r="H45" s="167">
        <v>10647</v>
      </c>
      <c r="I45" s="167">
        <v>10809</v>
      </c>
      <c r="J45" s="167">
        <v>3902</v>
      </c>
      <c r="K45" s="166" t="s">
        <v>139</v>
      </c>
    </row>
    <row r="46" spans="1:11" x14ac:dyDescent="0.25">
      <c r="A46" s="166" t="s">
        <v>301</v>
      </c>
      <c r="B46" s="166" t="s">
        <v>164</v>
      </c>
      <c r="C46" s="166" t="s">
        <v>302</v>
      </c>
      <c r="D46" s="166" t="s">
        <v>303</v>
      </c>
      <c r="E46" s="166" t="s">
        <v>304</v>
      </c>
      <c r="F46" s="167">
        <v>11409</v>
      </c>
      <c r="G46" s="167">
        <v>11417</v>
      </c>
      <c r="H46" s="167">
        <v>12097</v>
      </c>
      <c r="I46" s="167">
        <v>12235</v>
      </c>
      <c r="J46" s="167">
        <v>510</v>
      </c>
      <c r="K46" s="166" t="s">
        <v>139</v>
      </c>
    </row>
    <row r="47" spans="1:11" x14ac:dyDescent="0.25">
      <c r="A47" s="166" t="s">
        <v>305</v>
      </c>
      <c r="B47" s="166" t="s">
        <v>148</v>
      </c>
      <c r="C47" s="166" t="s">
        <v>136</v>
      </c>
      <c r="D47" s="166" t="s">
        <v>136</v>
      </c>
      <c r="E47" s="166" t="s">
        <v>306</v>
      </c>
      <c r="F47" s="167">
        <v>10278</v>
      </c>
      <c r="G47" s="167">
        <v>12264</v>
      </c>
      <c r="H47" s="167">
        <v>14013</v>
      </c>
      <c r="I47" s="167">
        <v>14657</v>
      </c>
      <c r="J47" s="167">
        <v>5662</v>
      </c>
      <c r="K47" s="166" t="s">
        <v>139</v>
      </c>
    </row>
    <row r="48" spans="1:11" x14ac:dyDescent="0.25">
      <c r="A48" s="166" t="s">
        <v>307</v>
      </c>
      <c r="B48" s="166" t="s">
        <v>148</v>
      </c>
      <c r="C48" s="166" t="s">
        <v>136</v>
      </c>
      <c r="D48" s="166" t="s">
        <v>308</v>
      </c>
      <c r="E48" s="166" t="s">
        <v>309</v>
      </c>
      <c r="F48" s="167">
        <v>16419</v>
      </c>
      <c r="G48" s="167">
        <v>18353</v>
      </c>
      <c r="H48" s="167">
        <v>21152</v>
      </c>
      <c r="I48" s="167">
        <v>20404</v>
      </c>
      <c r="J48" s="167">
        <v>10487</v>
      </c>
      <c r="K48" s="166" t="s">
        <v>139</v>
      </c>
    </row>
    <row r="49" spans="1:11" x14ac:dyDescent="0.25">
      <c r="A49" s="166" t="s">
        <v>310</v>
      </c>
      <c r="B49" s="166" t="s">
        <v>148</v>
      </c>
      <c r="C49" s="166" t="s">
        <v>311</v>
      </c>
      <c r="D49" s="166" t="s">
        <v>312</v>
      </c>
      <c r="E49" s="166" t="s">
        <v>313</v>
      </c>
      <c r="F49" s="167">
        <v>11287</v>
      </c>
      <c r="G49" s="167">
        <v>11418</v>
      </c>
      <c r="H49" s="167">
        <v>12216</v>
      </c>
      <c r="I49" s="167">
        <v>12354</v>
      </c>
      <c r="J49" s="167">
        <v>7408</v>
      </c>
      <c r="K49" s="166" t="s">
        <v>139</v>
      </c>
    </row>
    <row r="50" spans="1:11" x14ac:dyDescent="0.25">
      <c r="A50" s="166" t="s">
        <v>314</v>
      </c>
      <c r="B50" s="166" t="s">
        <v>95</v>
      </c>
      <c r="C50" s="166" t="s">
        <v>315</v>
      </c>
      <c r="D50" s="166" t="s">
        <v>316</v>
      </c>
      <c r="E50" s="166" t="s">
        <v>317</v>
      </c>
      <c r="F50" s="167">
        <v>420369</v>
      </c>
      <c r="G50" s="167">
        <v>496063</v>
      </c>
      <c r="H50" s="167">
        <v>555328</v>
      </c>
      <c r="I50" s="167">
        <v>584526</v>
      </c>
      <c r="J50" s="167">
        <v>31641</v>
      </c>
      <c r="K50" s="166" t="s">
        <v>139</v>
      </c>
    </row>
    <row r="51" spans="1:11" x14ac:dyDescent="0.25">
      <c r="A51" s="166" t="s">
        <v>318</v>
      </c>
      <c r="B51" s="166" t="s">
        <v>95</v>
      </c>
      <c r="C51" s="166" t="s">
        <v>319</v>
      </c>
      <c r="D51" s="166" t="s">
        <v>320</v>
      </c>
      <c r="E51" s="166" t="s">
        <v>321</v>
      </c>
      <c r="F51" s="167">
        <v>11731</v>
      </c>
      <c r="G51" s="167">
        <v>11852</v>
      </c>
      <c r="H51" s="167">
        <v>12247</v>
      </c>
      <c r="I51" s="167">
        <v>12594</v>
      </c>
      <c r="J51" s="167">
        <v>5736</v>
      </c>
      <c r="K51" s="166" t="s">
        <v>139</v>
      </c>
    </row>
    <row r="52" spans="1:11" x14ac:dyDescent="0.25">
      <c r="A52" s="166" t="s">
        <v>322</v>
      </c>
      <c r="B52" s="166" t="s">
        <v>95</v>
      </c>
      <c r="C52" s="166" t="s">
        <v>323</v>
      </c>
      <c r="D52" s="166" t="s">
        <v>324</v>
      </c>
      <c r="E52" s="166" t="s">
        <v>325</v>
      </c>
      <c r="F52" s="167">
        <v>602818</v>
      </c>
      <c r="G52" s="167">
        <v>631190</v>
      </c>
      <c r="H52" s="167">
        <v>668655</v>
      </c>
      <c r="I52" s="167">
        <v>685885</v>
      </c>
      <c r="J52" s="167">
        <v>11497</v>
      </c>
      <c r="K52" s="166" t="s">
        <v>139</v>
      </c>
    </row>
    <row r="53" spans="1:11" x14ac:dyDescent="0.25">
      <c r="A53" s="166" t="s">
        <v>326</v>
      </c>
      <c r="B53" s="166" t="s">
        <v>95</v>
      </c>
      <c r="C53" s="166" t="s">
        <v>327</v>
      </c>
      <c r="D53" s="166" t="s">
        <v>328</v>
      </c>
      <c r="E53" s="166" t="s">
        <v>329</v>
      </c>
      <c r="F53" s="167">
        <v>37462</v>
      </c>
      <c r="G53" s="167">
        <v>39260</v>
      </c>
      <c r="H53" s="167">
        <v>42145</v>
      </c>
      <c r="I53" s="167">
        <v>43300</v>
      </c>
      <c r="J53" s="167">
        <v>9605</v>
      </c>
      <c r="K53" s="166" t="s">
        <v>139</v>
      </c>
    </row>
    <row r="54" spans="1:11" x14ac:dyDescent="0.25">
      <c r="A54" s="166" t="s">
        <v>330</v>
      </c>
      <c r="B54" s="166" t="s">
        <v>95</v>
      </c>
      <c r="C54" s="166" t="s">
        <v>331</v>
      </c>
      <c r="D54" s="166" t="s">
        <v>332</v>
      </c>
      <c r="E54" s="166" t="s">
        <v>333</v>
      </c>
      <c r="F54" s="167">
        <v>80902</v>
      </c>
      <c r="G54" s="167">
        <v>83349</v>
      </c>
      <c r="H54" s="167">
        <v>91288</v>
      </c>
      <c r="I54" s="167">
        <v>94005</v>
      </c>
      <c r="J54" s="167">
        <v>1947</v>
      </c>
      <c r="K54" s="166" t="s">
        <v>139</v>
      </c>
    </row>
    <row r="55" spans="1:11" x14ac:dyDescent="0.25">
      <c r="A55" s="166" t="s">
        <v>334</v>
      </c>
      <c r="B55" s="166" t="s">
        <v>164</v>
      </c>
      <c r="C55" s="166" t="s">
        <v>136</v>
      </c>
      <c r="D55" s="166" t="s">
        <v>335</v>
      </c>
      <c r="E55" s="166" t="s">
        <v>336</v>
      </c>
      <c r="F55" s="167">
        <v>9026</v>
      </c>
      <c r="G55" s="167">
        <v>9861</v>
      </c>
      <c r="H55" s="167">
        <v>11163</v>
      </c>
      <c r="I55" s="167">
        <v>11567</v>
      </c>
      <c r="J55" s="167">
        <v>1436</v>
      </c>
      <c r="K55" s="166" t="s">
        <v>139</v>
      </c>
    </row>
    <row r="56" spans="1:11" x14ac:dyDescent="0.25">
      <c r="A56" s="166" t="s">
        <v>337</v>
      </c>
      <c r="B56" s="166" t="s">
        <v>95</v>
      </c>
      <c r="C56" s="166" t="s">
        <v>136</v>
      </c>
      <c r="D56" s="166" t="s">
        <v>136</v>
      </c>
      <c r="E56" s="166" t="s">
        <v>136</v>
      </c>
      <c r="F56" s="167">
        <v>28684</v>
      </c>
      <c r="G56" s="167">
        <v>31768</v>
      </c>
      <c r="H56" s="167">
        <v>34739</v>
      </c>
      <c r="I56" s="167">
        <v>35818</v>
      </c>
      <c r="J56" s="167">
        <v>12353</v>
      </c>
      <c r="K56" s="166" t="s">
        <v>139</v>
      </c>
    </row>
    <row r="57" spans="1:11" x14ac:dyDescent="0.25">
      <c r="A57" s="166" t="s">
        <v>338</v>
      </c>
      <c r="B57" s="166" t="s">
        <v>148</v>
      </c>
      <c r="C57" s="166" t="s">
        <v>339</v>
      </c>
      <c r="D57" s="166" t="s">
        <v>340</v>
      </c>
      <c r="E57" s="166" t="s">
        <v>341</v>
      </c>
      <c r="F57" s="167">
        <v>43182</v>
      </c>
      <c r="G57" s="167">
        <v>43347</v>
      </c>
      <c r="H57" s="167">
        <v>43717</v>
      </c>
      <c r="I57" s="167">
        <v>43945</v>
      </c>
      <c r="J57" s="167">
        <v>8726</v>
      </c>
      <c r="K57" s="166" t="s">
        <v>139</v>
      </c>
    </row>
    <row r="58" spans="1:11" x14ac:dyDescent="0.25">
      <c r="A58" s="166" t="s">
        <v>342</v>
      </c>
      <c r="B58" s="166" t="s">
        <v>148</v>
      </c>
      <c r="C58" s="166" t="s">
        <v>343</v>
      </c>
      <c r="D58" s="166" t="s">
        <v>344</v>
      </c>
      <c r="E58" s="166" t="s">
        <v>345</v>
      </c>
      <c r="F58" s="167">
        <v>9186</v>
      </c>
      <c r="G58" s="167">
        <v>10519</v>
      </c>
      <c r="H58" s="167">
        <v>13126</v>
      </c>
      <c r="I58" s="167">
        <v>13763</v>
      </c>
      <c r="J58" s="167">
        <v>24041</v>
      </c>
      <c r="K58" s="166" t="s">
        <v>139</v>
      </c>
    </row>
    <row r="59" spans="1:11" x14ac:dyDescent="0.25">
      <c r="A59" s="166" t="s">
        <v>346</v>
      </c>
      <c r="B59" s="166" t="s">
        <v>95</v>
      </c>
      <c r="C59" s="166" t="s">
        <v>347</v>
      </c>
      <c r="D59" s="166" t="s">
        <v>348</v>
      </c>
      <c r="E59" s="166" t="s">
        <v>349</v>
      </c>
      <c r="F59" s="167">
        <v>19033</v>
      </c>
      <c r="G59" s="167">
        <v>19672</v>
      </c>
      <c r="H59" s="167">
        <v>20754</v>
      </c>
      <c r="I59" s="167">
        <v>21027</v>
      </c>
      <c r="J59" s="167">
        <v>512</v>
      </c>
      <c r="K59" s="166" t="s">
        <v>139</v>
      </c>
    </row>
    <row r="60" spans="1:11" x14ac:dyDescent="0.25">
      <c r="A60" s="166" t="s">
        <v>350</v>
      </c>
      <c r="B60" s="166" t="s">
        <v>95</v>
      </c>
      <c r="C60" s="166" t="s">
        <v>351</v>
      </c>
      <c r="D60" s="166" t="s">
        <v>352</v>
      </c>
      <c r="E60" s="166" t="s">
        <v>353</v>
      </c>
      <c r="F60" s="167">
        <v>11234</v>
      </c>
      <c r="G60" s="167">
        <v>11124</v>
      </c>
      <c r="H60" s="167">
        <v>11170</v>
      </c>
      <c r="I60" s="167">
        <v>11359</v>
      </c>
      <c r="J60" s="167">
        <v>3313</v>
      </c>
      <c r="K60" s="166" t="s">
        <v>139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C3F07-525F-4278-8BCC-7D9C038C087A}">
  <sheetPr codeName="Sheet4"/>
  <dimension ref="A1:B14"/>
  <sheetViews>
    <sheetView workbookViewId="0">
      <selection activeCell="H28" sqref="H28"/>
    </sheetView>
  </sheetViews>
  <sheetFormatPr defaultColWidth="8.77734375" defaultRowHeight="13.8" x14ac:dyDescent="0.25"/>
  <cols>
    <col min="1" max="1" width="7.33203125" style="167" bestFit="1" customWidth="1"/>
    <col min="2" max="2" width="18.77734375" style="167" bestFit="1" customWidth="1"/>
    <col min="3" max="16384" width="8.77734375" style="167"/>
  </cols>
  <sheetData>
    <row r="1" spans="1:2" x14ac:dyDescent="0.25">
      <c r="A1" s="167" t="s">
        <v>96</v>
      </c>
      <c r="B1" s="167" t="s">
        <v>97</v>
      </c>
    </row>
    <row r="2" spans="1:2" x14ac:dyDescent="0.25">
      <c r="A2" s="166" t="s">
        <v>98</v>
      </c>
      <c r="B2" s="166" t="s">
        <v>99</v>
      </c>
    </row>
    <row r="3" spans="1:2" x14ac:dyDescent="0.25">
      <c r="A3" s="166" t="s">
        <v>100</v>
      </c>
      <c r="B3" s="166" t="s">
        <v>101</v>
      </c>
    </row>
    <row r="4" spans="1:2" x14ac:dyDescent="0.25">
      <c r="A4" s="166" t="s">
        <v>102</v>
      </c>
      <c r="B4" s="166" t="s">
        <v>103</v>
      </c>
    </row>
    <row r="5" spans="1:2" x14ac:dyDescent="0.25">
      <c r="A5" s="166" t="s">
        <v>104</v>
      </c>
      <c r="B5" s="166" t="s">
        <v>105</v>
      </c>
    </row>
    <row r="6" spans="1:2" x14ac:dyDescent="0.25">
      <c r="A6" s="166" t="s">
        <v>106</v>
      </c>
      <c r="B6" s="166" t="s">
        <v>107</v>
      </c>
    </row>
    <row r="7" spans="1:2" x14ac:dyDescent="0.25">
      <c r="A7" s="166" t="s">
        <v>108</v>
      </c>
      <c r="B7" s="166" t="s">
        <v>109</v>
      </c>
    </row>
    <row r="8" spans="1:2" x14ac:dyDescent="0.25">
      <c r="A8" s="166" t="s">
        <v>110</v>
      </c>
      <c r="B8" s="166" t="s">
        <v>111</v>
      </c>
    </row>
    <row r="9" spans="1:2" x14ac:dyDescent="0.25">
      <c r="A9" s="166" t="s">
        <v>112</v>
      </c>
      <c r="B9" s="166" t="s">
        <v>113</v>
      </c>
    </row>
    <row r="10" spans="1:2" x14ac:dyDescent="0.25">
      <c r="A10" s="166" t="s">
        <v>114</v>
      </c>
      <c r="B10" s="166" t="s">
        <v>115</v>
      </c>
    </row>
    <row r="11" spans="1:2" x14ac:dyDescent="0.25">
      <c r="A11" s="166" t="s">
        <v>116</v>
      </c>
      <c r="B11" s="166" t="s">
        <v>117</v>
      </c>
    </row>
    <row r="12" spans="1:2" x14ac:dyDescent="0.25">
      <c r="A12" s="166" t="s">
        <v>118</v>
      </c>
      <c r="B12" s="166" t="s">
        <v>119</v>
      </c>
    </row>
    <row r="13" spans="1:2" x14ac:dyDescent="0.25">
      <c r="A13" s="166" t="s">
        <v>120</v>
      </c>
      <c r="B13" s="166" t="s">
        <v>121</v>
      </c>
    </row>
    <row r="14" spans="1:2" x14ac:dyDescent="0.25">
      <c r="A14" s="166" t="s">
        <v>122</v>
      </c>
      <c r="B14" s="166" t="s">
        <v>123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288D6-ECF4-4173-9827-E5D95435E97E}">
  <sheetPr codeName="Sheet5"/>
  <dimension ref="B1:G22"/>
  <sheetViews>
    <sheetView workbookViewId="0">
      <selection activeCell="C3" sqref="C3"/>
    </sheetView>
  </sheetViews>
  <sheetFormatPr defaultColWidth="8.77734375" defaultRowHeight="13.8" x14ac:dyDescent="0.25"/>
  <cols>
    <col min="1" max="1" width="8.77734375" style="5"/>
    <col min="2" max="2" width="27.5546875" style="141" customWidth="1"/>
    <col min="3" max="3" width="16.44140625" style="5" customWidth="1"/>
    <col min="4" max="4" width="15.5546875" style="5" customWidth="1"/>
    <col min="5" max="6" width="15.21875" style="5" customWidth="1"/>
    <col min="7" max="7" width="13.6640625" style="5" customWidth="1"/>
    <col min="8" max="16384" width="8.77734375" style="5"/>
  </cols>
  <sheetData>
    <row r="1" spans="2:7" ht="17.399999999999999" x14ac:dyDescent="0.3">
      <c r="B1" s="220" t="s">
        <v>361</v>
      </c>
      <c r="C1" s="220"/>
      <c r="D1" s="220"/>
      <c r="E1" s="220"/>
      <c r="F1" s="220"/>
      <c r="G1" s="220"/>
    </row>
    <row r="2" spans="2:7" ht="17.399999999999999" thickBot="1" x14ac:dyDescent="0.35">
      <c r="B2" s="3" t="s">
        <v>362</v>
      </c>
      <c r="C2" s="3" t="s">
        <v>74</v>
      </c>
      <c r="D2" s="3" t="s">
        <v>89</v>
      </c>
      <c r="E2" s="3" t="s">
        <v>90</v>
      </c>
      <c r="F2" s="3" t="s">
        <v>83</v>
      </c>
      <c r="G2" s="168" t="s">
        <v>363</v>
      </c>
    </row>
    <row r="3" spans="2:7" ht="14.4" thickTop="1" x14ac:dyDescent="0.25">
      <c r="B3" s="169" t="str">
        <f>Template!G58</f>
        <v>Demolition</v>
      </c>
      <c r="C3" s="170">
        <f>Template!H58</f>
        <v>3000</v>
      </c>
      <c r="D3" s="170">
        <f>Template!H77</f>
        <v>650</v>
      </c>
      <c r="E3" s="170">
        <f>SUM(C3:D3)</f>
        <v>3650</v>
      </c>
      <c r="F3" s="171">
        <f>E3/$E$21</f>
        <v>3.6900369003690037E-2</v>
      </c>
      <c r="G3" s="172">
        <f>E3/Template!$B$4</f>
        <v>2.0021941854086669</v>
      </c>
    </row>
    <row r="4" spans="2:7" x14ac:dyDescent="0.25">
      <c r="B4" s="173" t="str">
        <f>Template!G59</f>
        <v>Framing</v>
      </c>
      <c r="C4" s="172">
        <f>Template!H59</f>
        <v>4034</v>
      </c>
      <c r="D4" s="172">
        <f>Template!H78</f>
        <v>6174</v>
      </c>
      <c r="E4" s="172">
        <f t="shared" ref="E4:E20" si="0">SUM(C4:D4)</f>
        <v>10208</v>
      </c>
      <c r="F4" s="174">
        <f t="shared" ref="F4:F20" si="1">E4/$E$21</f>
        <v>0.10319971692867613</v>
      </c>
      <c r="G4" s="172">
        <f>E4/Template!$B$4</f>
        <v>5.5995611629182669</v>
      </c>
    </row>
    <row r="5" spans="2:7" x14ac:dyDescent="0.25">
      <c r="B5" s="173" t="str">
        <f>Template!G60</f>
        <v>Drywall, tape&amp;mudding</v>
      </c>
      <c r="C5" s="172">
        <f>Template!H60</f>
        <v>2560</v>
      </c>
      <c r="D5" s="172">
        <f>Template!H79</f>
        <v>3756</v>
      </c>
      <c r="E5" s="172">
        <f t="shared" si="0"/>
        <v>6316</v>
      </c>
      <c r="F5" s="174">
        <f t="shared" si="1"/>
        <v>6.3852802911590761E-2</v>
      </c>
      <c r="G5" s="172">
        <f>E5/Template!$B$4</f>
        <v>3.4646187602852443</v>
      </c>
    </row>
    <row r="6" spans="2:7" x14ac:dyDescent="0.25">
      <c r="B6" s="173" t="str">
        <f>Template!G61</f>
        <v>Painting</v>
      </c>
      <c r="C6" s="172">
        <f>Template!H61</f>
        <v>2040</v>
      </c>
      <c r="D6" s="172">
        <f>Template!H80</f>
        <v>792</v>
      </c>
      <c r="E6" s="172">
        <f t="shared" si="0"/>
        <v>2832</v>
      </c>
      <c r="F6" s="174">
        <f t="shared" si="1"/>
        <v>2.8630642470808269E-2</v>
      </c>
      <c r="G6" s="172">
        <f>E6/Template!$B$4</f>
        <v>1.553483269336259</v>
      </c>
    </row>
    <row r="7" spans="2:7" x14ac:dyDescent="0.25">
      <c r="B7" s="173" t="str">
        <f>Template!G62</f>
        <v>Finish Carpentry</v>
      </c>
      <c r="C7" s="172">
        <f>Template!H62</f>
        <v>4603</v>
      </c>
      <c r="D7" s="172">
        <f>Template!H81</f>
        <v>4227</v>
      </c>
      <c r="E7" s="172">
        <f t="shared" si="0"/>
        <v>8830</v>
      </c>
      <c r="F7" s="174">
        <f t="shared" si="1"/>
        <v>8.9268563918515897E-2</v>
      </c>
      <c r="G7" s="172">
        <f>E7/Template!$B$4</f>
        <v>4.843664289632474</v>
      </c>
    </row>
    <row r="8" spans="2:7" x14ac:dyDescent="0.25">
      <c r="B8" s="173" t="str">
        <f>Template!G63</f>
        <v>Kitchen cabinet</v>
      </c>
      <c r="C8" s="172">
        <f>Template!H63</f>
        <v>6560</v>
      </c>
      <c r="D8" s="172">
        <f>Template!H82</f>
        <v>12000</v>
      </c>
      <c r="E8" s="172">
        <f t="shared" si="0"/>
        <v>18560</v>
      </c>
      <c r="F8" s="174">
        <f t="shared" si="1"/>
        <v>0.18763584896122934</v>
      </c>
      <c r="G8" s="172">
        <f>E8/Template!$B$4</f>
        <v>10.18102029621503</v>
      </c>
    </row>
    <row r="9" spans="2:7" x14ac:dyDescent="0.25">
      <c r="B9" s="173" t="str">
        <f>Template!G64</f>
        <v>Bathroom</v>
      </c>
      <c r="C9" s="172">
        <f>Template!H64</f>
        <v>3260</v>
      </c>
      <c r="D9" s="172">
        <f>Template!H83</f>
        <v>2518</v>
      </c>
      <c r="E9" s="172">
        <f t="shared" si="0"/>
        <v>5778</v>
      </c>
      <c r="F9" s="174">
        <f t="shared" si="1"/>
        <v>5.8413789617348229E-2</v>
      </c>
      <c r="G9" s="172">
        <f>E9/Template!$B$4</f>
        <v>3.1695008228195283</v>
      </c>
    </row>
    <row r="10" spans="2:7" x14ac:dyDescent="0.25">
      <c r="B10" s="173" t="str">
        <f>Template!G65</f>
        <v>Floorinng, tiling</v>
      </c>
      <c r="C10" s="172">
        <f>Template!H65</f>
        <v>3500</v>
      </c>
      <c r="D10" s="172">
        <f>Template!H84</f>
        <v>5678</v>
      </c>
      <c r="E10" s="172">
        <f t="shared" si="0"/>
        <v>9178</v>
      </c>
      <c r="F10" s="174">
        <f t="shared" si="1"/>
        <v>9.2786736086538951E-2</v>
      </c>
      <c r="G10" s="172">
        <f>E10/Template!$B$4</f>
        <v>5.0345584201865057</v>
      </c>
    </row>
    <row r="11" spans="2:7" x14ac:dyDescent="0.25">
      <c r="B11" s="173" t="str">
        <f>Template!G66</f>
        <v>HVAC</v>
      </c>
      <c r="C11" s="172">
        <f>Template!H66</f>
        <v>2900</v>
      </c>
      <c r="D11" s="172">
        <f>Template!H85</f>
        <v>350</v>
      </c>
      <c r="E11" s="172">
        <f t="shared" si="0"/>
        <v>3250</v>
      </c>
      <c r="F11" s="174">
        <f t="shared" si="1"/>
        <v>3.2856492948491127E-2</v>
      </c>
      <c r="G11" s="172">
        <f>E11/Template!$B$4</f>
        <v>1.7827756445419638</v>
      </c>
    </row>
    <row r="12" spans="2:7" x14ac:dyDescent="0.25">
      <c r="B12" s="173" t="str">
        <f>Template!G67</f>
        <v>Electriccal</v>
      </c>
      <c r="C12" s="172">
        <f>Template!H67</f>
        <v>2560</v>
      </c>
      <c r="D12" s="172">
        <f>Template!H86</f>
        <v>612</v>
      </c>
      <c r="E12" s="172">
        <f t="shared" si="0"/>
        <v>3172</v>
      </c>
      <c r="F12" s="174">
        <f t="shared" si="1"/>
        <v>3.206793711772734E-2</v>
      </c>
      <c r="G12" s="172">
        <f>E12/Template!$B$4</f>
        <v>1.7399890290729567</v>
      </c>
    </row>
    <row r="13" spans="2:7" x14ac:dyDescent="0.25">
      <c r="B13" s="173" t="str">
        <f>Template!G68</f>
        <v>Plumbing</v>
      </c>
      <c r="C13" s="172">
        <f>Template!H68</f>
        <v>2680</v>
      </c>
      <c r="D13" s="172">
        <f>Template!H87</f>
        <v>388</v>
      </c>
      <c r="E13" s="172">
        <f t="shared" si="0"/>
        <v>3068</v>
      </c>
      <c r="F13" s="174">
        <f t="shared" si="1"/>
        <v>3.1016529343375624E-2</v>
      </c>
      <c r="G13" s="172">
        <f>E13/Template!$B$4</f>
        <v>1.6829402084476137</v>
      </c>
    </row>
    <row r="14" spans="2:7" x14ac:dyDescent="0.25">
      <c r="B14" s="173" t="str">
        <f>Template!G69</f>
        <v>Landscaping</v>
      </c>
      <c r="C14" s="172">
        <f>Template!H69</f>
        <v>3000</v>
      </c>
      <c r="D14" s="172">
        <f>Template!H88</f>
        <v>2000</v>
      </c>
      <c r="E14" s="172">
        <f t="shared" si="0"/>
        <v>5000</v>
      </c>
      <c r="F14" s="174">
        <f t="shared" si="1"/>
        <v>5.0548450689986354E-2</v>
      </c>
      <c r="G14" s="172">
        <f>E14/Template!$B$4</f>
        <v>2.7427317608337907</v>
      </c>
    </row>
    <row r="15" spans="2:7" x14ac:dyDescent="0.25">
      <c r="B15" s="173" t="str">
        <f>Template!G70</f>
        <v>Siding</v>
      </c>
      <c r="C15" s="172">
        <f>Template!H70</f>
        <v>3500</v>
      </c>
      <c r="D15" s="172">
        <f>Template!H89</f>
        <v>4178</v>
      </c>
      <c r="E15" s="172">
        <f t="shared" si="0"/>
        <v>7678</v>
      </c>
      <c r="F15" s="174">
        <f t="shared" si="1"/>
        <v>7.7622200879543038E-2</v>
      </c>
      <c r="G15" s="172">
        <f>E15/Template!$B$4</f>
        <v>4.2117388919363687</v>
      </c>
    </row>
    <row r="16" spans="2:7" x14ac:dyDescent="0.25">
      <c r="B16" s="173" t="str">
        <f>Template!G71</f>
        <v>Painting</v>
      </c>
      <c r="C16" s="172">
        <f>Template!H71</f>
        <v>1200</v>
      </c>
      <c r="D16" s="172">
        <f>Template!H90</f>
        <v>500</v>
      </c>
      <c r="E16" s="172">
        <f t="shared" si="0"/>
        <v>1700</v>
      </c>
      <c r="F16" s="174">
        <f t="shared" si="1"/>
        <v>1.7186473234595361E-2</v>
      </c>
      <c r="G16" s="172">
        <f>E16/Template!$B$4</f>
        <v>0.9325287986834887</v>
      </c>
    </row>
    <row r="17" spans="2:7" x14ac:dyDescent="0.25">
      <c r="B17" s="173" t="str">
        <f>Template!G72</f>
        <v>Deck</v>
      </c>
      <c r="C17" s="172">
        <f>Template!H72</f>
        <v>1500</v>
      </c>
      <c r="D17" s="172">
        <f>Template!H91</f>
        <v>2000</v>
      </c>
      <c r="E17" s="172">
        <f t="shared" si="0"/>
        <v>3500</v>
      </c>
      <c r="F17" s="174">
        <f t="shared" si="1"/>
        <v>3.5383915482990448E-2</v>
      </c>
      <c r="G17" s="172">
        <f>E17/Template!$B$4</f>
        <v>1.9199122325836533</v>
      </c>
    </row>
    <row r="18" spans="2:7" x14ac:dyDescent="0.25">
      <c r="B18" s="173" t="str">
        <f>Template!G73</f>
        <v>Fence</v>
      </c>
      <c r="C18" s="172">
        <f>Template!H73</f>
        <v>1890</v>
      </c>
      <c r="D18" s="172">
        <f>Template!H92</f>
        <v>2250</v>
      </c>
      <c r="E18" s="172">
        <f t="shared" si="0"/>
        <v>4140</v>
      </c>
      <c r="F18" s="174">
        <f t="shared" si="1"/>
        <v>4.18541171713087E-2</v>
      </c>
      <c r="G18" s="172">
        <f>E18/Template!$B$4</f>
        <v>2.2709818979703784</v>
      </c>
    </row>
    <row r="19" spans="2:7" x14ac:dyDescent="0.25">
      <c r="B19" s="173" t="str">
        <f>Template!G74</f>
        <v>Driveway</v>
      </c>
      <c r="C19" s="172">
        <f>Template!H74</f>
        <v>0</v>
      </c>
      <c r="D19" s="172">
        <f>Template!H93</f>
        <v>0</v>
      </c>
      <c r="E19" s="172">
        <f t="shared" si="0"/>
        <v>0</v>
      </c>
      <c r="F19" s="174">
        <f t="shared" si="1"/>
        <v>0</v>
      </c>
      <c r="G19" s="172">
        <f>E19/Template!$B$4</f>
        <v>0</v>
      </c>
    </row>
    <row r="20" spans="2:7" ht="14.4" thickBot="1" x14ac:dyDescent="0.3">
      <c r="B20" s="175" t="str">
        <f>Template!G75</f>
        <v>Roofing</v>
      </c>
      <c r="C20" s="176">
        <f>Template!H75</f>
        <v>1000</v>
      </c>
      <c r="D20" s="176">
        <f>Template!H94</f>
        <v>1055</v>
      </c>
      <c r="E20" s="176">
        <f t="shared" si="0"/>
        <v>2055</v>
      </c>
      <c r="F20" s="177">
        <f t="shared" si="1"/>
        <v>2.0775413233584391E-2</v>
      </c>
      <c r="G20" s="176">
        <f>E20/Template!$B$4</f>
        <v>1.1272627537026878</v>
      </c>
    </row>
    <row r="21" spans="2:7" ht="14.4" thickTop="1" x14ac:dyDescent="0.25">
      <c r="B21" s="173" t="s">
        <v>7</v>
      </c>
      <c r="C21" s="172">
        <f>SUM(C3:C20)</f>
        <v>49787</v>
      </c>
      <c r="D21" s="172">
        <f t="shared" ref="D21:E21" si="2">SUM(D3:D20)</f>
        <v>49128</v>
      </c>
      <c r="E21" s="172">
        <f t="shared" si="2"/>
        <v>98915</v>
      </c>
      <c r="F21" s="178"/>
      <c r="G21" s="172">
        <f>SUM(G3:G20)</f>
        <v>54.259462424574892</v>
      </c>
    </row>
    <row r="22" spans="2:7" x14ac:dyDescent="0.25">
      <c r="B22" s="179"/>
    </row>
  </sheetData>
  <mergeCells count="1">
    <mergeCell ref="B1:G1"/>
  </mergeCells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C9D0C62463D7499FAC13F5714DB56D" ma:contentTypeVersion="4" ma:contentTypeDescription="Create a new document." ma:contentTypeScope="" ma:versionID="820c0c58b1676c80900e24589a373e4b">
  <xsd:schema xmlns:xsd="http://www.w3.org/2001/XMLSchema" xmlns:xs="http://www.w3.org/2001/XMLSchema" xmlns:p="http://schemas.microsoft.com/office/2006/metadata/properties" xmlns:ns3="ddd34ce8-260d-4575-870a-78f3149d965a" targetNamespace="http://schemas.microsoft.com/office/2006/metadata/properties" ma:root="true" ma:fieldsID="9baa7f260e2b73d84dfbd6cda465ee81" ns3:_="">
    <xsd:import namespace="ddd34ce8-260d-4575-870a-78f3149d965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34ce8-260d-4575-870a-78f3149d965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CE5D8A1B-140D-4F46-9C24-127BDA330F78}">
  <ds:schemaRefs>
    <ds:schemaRef ds:uri="http://purl.org/dc/terms/"/>
    <ds:schemaRef ds:uri="http://purl.org/dc/elements/1.1/"/>
    <ds:schemaRef ds:uri="http://purl.org/dc/dcmitype/"/>
    <ds:schemaRef ds:uri="ddd34ce8-260d-4575-870a-78f3149d965a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7C6C743-2B48-42A0-8CC9-04362C1498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988BE8-9841-4C06-93EF-082BD665D2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d34ce8-260d-4575-870a-78f3149d965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355C988-6715-4DC5-A01F-43B802C739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Template (2)</vt:lpstr>
      <vt:lpstr>Template</vt:lpstr>
      <vt:lpstr>Cost Calculator</vt:lpstr>
      <vt:lpstr>BC Cities</vt:lpstr>
      <vt:lpstr>Canada Provinces</vt:lpstr>
      <vt:lpstr>Result</vt:lpstr>
      <vt:lpstr>Calculated_new_cost</vt:lpstr>
      <vt:lpstr>Calculated_new_project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 ichigo</dc:creator>
  <cp:lastModifiedBy>Masa</cp:lastModifiedBy>
  <dcterms:created xsi:type="dcterms:W3CDTF">2020-12-07T01:27:55Z</dcterms:created>
  <dcterms:modified xsi:type="dcterms:W3CDTF">2022-08-29T22:11:09Z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0x01010036C9D0C62463D7499FAC13F5714DB56D</vt:lpwstr>
  </property>
</Properties>
</file>